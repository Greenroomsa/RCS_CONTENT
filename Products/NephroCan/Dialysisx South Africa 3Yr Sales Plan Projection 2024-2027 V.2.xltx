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08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archway/Desktop/Renal Care Solutions/Nephrocan/"/>
    </mc:Choice>
  </mc:AlternateContent>
  <xr:revisionPtr revIDLastSave="0" documentId="8_{78C1E74B-4A55-C441-81FF-BF3AF3CAEBCB}" xr6:coauthVersionLast="47" xr6:coauthVersionMax="47" xr10:uidLastSave="{00000000-0000-0000-0000-000000000000}"/>
  <bookViews>
    <workbookView xWindow="0" yWindow="500" windowWidth="28800" windowHeight="16520" xr2:uid="{00000000-000D-0000-FFFF-FFFF00000000}"/>
  </bookViews>
  <sheets>
    <sheet name="PRODUCT SALES PLAN" sheetId="7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2" i="7" l="1"/>
  <c r="Q54" i="7"/>
  <c r="M62" i="7"/>
  <c r="S62" i="7"/>
  <c r="T62" i="7" s="1"/>
  <c r="U62" i="7" s="1"/>
  <c r="W62" i="7" s="1"/>
  <c r="R62" i="7"/>
  <c r="N62" i="7"/>
  <c r="M54" i="7"/>
  <c r="O54" i="7" s="1"/>
  <c r="AP36" i="7"/>
  <c r="AO36" i="7"/>
  <c r="AL39" i="7"/>
  <c r="AN39" i="7" s="1"/>
  <c r="AO39" i="7" s="1"/>
  <c r="AJ39" i="7"/>
  <c r="AK39" i="7" s="1"/>
  <c r="W37" i="7"/>
  <c r="X37" i="7" s="1"/>
  <c r="Y37" i="7" s="1"/>
  <c r="S37" i="7"/>
  <c r="T37" i="7" s="1"/>
  <c r="U37" i="7" s="1"/>
  <c r="Q37" i="7"/>
  <c r="AH39" i="7"/>
  <c r="AG39" i="7"/>
  <c r="AF39" i="7"/>
  <c r="AD39" i="7"/>
  <c r="AC39" i="7"/>
  <c r="AB39" i="7"/>
  <c r="Y39" i="7"/>
  <c r="S39" i="7"/>
  <c r="U39" i="7"/>
  <c r="T39" i="7"/>
  <c r="Q39" i="7"/>
  <c r="O39" i="7"/>
  <c r="P39" i="7" s="1"/>
  <c r="O36" i="7"/>
  <c r="U31" i="7"/>
  <c r="U32" i="7"/>
  <c r="S31" i="7"/>
  <c r="Q31" i="7"/>
  <c r="Q32" i="7"/>
  <c r="M32" i="7"/>
  <c r="N32" i="7" s="1"/>
  <c r="AD25" i="7"/>
  <c r="AD26" i="7"/>
  <c r="AF26" i="7" s="1"/>
  <c r="AG26" i="7" s="1"/>
  <c r="AH26" i="7" s="1"/>
  <c r="AJ26" i="7" s="1"/>
  <c r="AK26" i="7" s="1"/>
  <c r="AL26" i="7" s="1"/>
  <c r="AN26" i="7" s="1"/>
  <c r="AO26" i="7" s="1"/>
  <c r="AP26" i="7" s="1"/>
  <c r="AD24" i="7"/>
  <c r="AF25" i="7"/>
  <c r="AG25" i="7" s="1"/>
  <c r="AH25" i="7" s="1"/>
  <c r="AJ25" i="7" s="1"/>
  <c r="AK25" i="7" s="1"/>
  <c r="AL25" i="7" s="1"/>
  <c r="AN25" i="7" s="1"/>
  <c r="AF24" i="7"/>
  <c r="AG24" i="7" s="1"/>
  <c r="AH24" i="7" s="1"/>
  <c r="AJ24" i="7" s="1"/>
  <c r="AB25" i="7"/>
  <c r="AB27" i="7" s="1"/>
  <c r="AB26" i="7"/>
  <c r="AB24" i="7"/>
  <c r="AC26" i="7"/>
  <c r="AC24" i="7"/>
  <c r="Y25" i="7"/>
  <c r="Y26" i="7"/>
  <c r="Y24" i="7"/>
  <c r="U25" i="7"/>
  <c r="U26" i="7"/>
  <c r="U24" i="7"/>
  <c r="Q25" i="7"/>
  <c r="Q26" i="7"/>
  <c r="Q24" i="7"/>
  <c r="S26" i="7"/>
  <c r="T26" i="7" s="1"/>
  <c r="S25" i="7"/>
  <c r="T25" i="7" s="1"/>
  <c r="T24" i="7"/>
  <c r="S24" i="7"/>
  <c r="P26" i="7"/>
  <c r="P25" i="7"/>
  <c r="P24" i="7"/>
  <c r="O25" i="7"/>
  <c r="O27" i="7" s="1"/>
  <c r="O26" i="7"/>
  <c r="O24" i="7"/>
  <c r="M25" i="7"/>
  <c r="M26" i="7"/>
  <c r="M24" i="7"/>
  <c r="Q27" i="7"/>
  <c r="P27" i="7"/>
  <c r="M27" i="7"/>
  <c r="L27" i="7"/>
  <c r="K27" i="7"/>
  <c r="X62" i="7" l="1"/>
  <c r="Y62" i="7" s="1"/>
  <c r="AB62" i="7" s="1"/>
  <c r="V62" i="7"/>
  <c r="P54" i="7"/>
  <c r="S54" i="7" s="1"/>
  <c r="N54" i="7"/>
  <c r="Q36" i="7"/>
  <c r="S36" i="7" s="1"/>
  <c r="T36" i="7" s="1"/>
  <c r="U36" i="7" s="1"/>
  <c r="W36" i="7" s="1"/>
  <c r="X36" i="7" s="1"/>
  <c r="Y36" i="7" s="1"/>
  <c r="AB36" i="7" s="1"/>
  <c r="AC36" i="7" s="1"/>
  <c r="AD36" i="7" s="1"/>
  <c r="AF36" i="7" s="1"/>
  <c r="AG36" i="7" s="1"/>
  <c r="AH36" i="7" s="1"/>
  <c r="AJ36" i="7" s="1"/>
  <c r="AK36" i="7" s="1"/>
  <c r="AL36" i="7" s="1"/>
  <c r="AN36" i="7" s="1"/>
  <c r="T31" i="7"/>
  <c r="W31" i="7" s="1"/>
  <c r="O32" i="7"/>
  <c r="AJ27" i="7"/>
  <c r="AK24" i="7"/>
  <c r="AO25" i="7"/>
  <c r="AP25" i="7" s="1"/>
  <c r="AF27" i="7"/>
  <c r="AH27" i="7"/>
  <c r="AG27" i="7"/>
  <c r="AC25" i="7"/>
  <c r="W24" i="7"/>
  <c r="X24" i="7" s="1"/>
  <c r="S27" i="7"/>
  <c r="W26" i="7"/>
  <c r="X26" i="7" s="1"/>
  <c r="W25" i="7"/>
  <c r="X25" i="7" s="1"/>
  <c r="T27" i="7"/>
  <c r="N14" i="7"/>
  <c r="N15" i="7"/>
  <c r="AP100" i="7"/>
  <c r="AO100" i="7"/>
  <c r="AN100" i="7"/>
  <c r="AL100" i="7"/>
  <c r="AK100" i="7"/>
  <c r="AJ100" i="7"/>
  <c r="AH100" i="7"/>
  <c r="AG100" i="7"/>
  <c r="AF100" i="7"/>
  <c r="AD100" i="7"/>
  <c r="AC100" i="7"/>
  <c r="AB100" i="7"/>
  <c r="Y100" i="7"/>
  <c r="X100" i="7"/>
  <c r="W100" i="7"/>
  <c r="U100" i="7"/>
  <c r="T100" i="7"/>
  <c r="S100" i="7"/>
  <c r="Q100" i="7"/>
  <c r="P100" i="7"/>
  <c r="O100" i="7"/>
  <c r="M100" i="7"/>
  <c r="L100" i="7"/>
  <c r="K100" i="7"/>
  <c r="H100" i="7"/>
  <c r="G100" i="7"/>
  <c r="F100" i="7"/>
  <c r="AQ99" i="7"/>
  <c r="AQ100" i="7" s="1"/>
  <c r="AM99" i="7"/>
  <c r="AM100" i="7" s="1"/>
  <c r="AI99" i="7"/>
  <c r="AI100" i="7" s="1"/>
  <c r="AE99" i="7"/>
  <c r="AE100" i="7" s="1"/>
  <c r="Z99" i="7"/>
  <c r="Z100" i="7" s="1"/>
  <c r="V99" i="7"/>
  <c r="V100" i="7" s="1"/>
  <c r="R99" i="7"/>
  <c r="R100" i="7" s="1"/>
  <c r="N99" i="7"/>
  <c r="N100" i="7" s="1"/>
  <c r="I99" i="7"/>
  <c r="J99" i="7" s="1"/>
  <c r="J100" i="7" s="1"/>
  <c r="AM90" i="7"/>
  <c r="AM89" i="7"/>
  <c r="AI90" i="7"/>
  <c r="AI89" i="7"/>
  <c r="AE90" i="7"/>
  <c r="AE89" i="7"/>
  <c r="AQ90" i="7"/>
  <c r="AQ89" i="7"/>
  <c r="Z90" i="7"/>
  <c r="Z89" i="7"/>
  <c r="V90" i="7"/>
  <c r="V89" i="7"/>
  <c r="R90" i="7"/>
  <c r="R89" i="7"/>
  <c r="N90" i="7"/>
  <c r="N89" i="7"/>
  <c r="I90" i="7"/>
  <c r="J90" i="7" s="1"/>
  <c r="I89" i="7"/>
  <c r="J89" i="7" s="1"/>
  <c r="AQ95" i="7"/>
  <c r="AM95" i="7"/>
  <c r="AI95" i="7"/>
  <c r="AE95" i="7"/>
  <c r="Z95" i="7"/>
  <c r="V95" i="7"/>
  <c r="R95" i="7"/>
  <c r="N95" i="7"/>
  <c r="I95" i="7"/>
  <c r="J95" i="7" s="1"/>
  <c r="AQ94" i="7"/>
  <c r="AM94" i="7"/>
  <c r="AI94" i="7"/>
  <c r="AE94" i="7"/>
  <c r="Z94" i="7"/>
  <c r="V94" i="7"/>
  <c r="R94" i="7"/>
  <c r="N94" i="7"/>
  <c r="I94" i="7"/>
  <c r="J94" i="7" s="1"/>
  <c r="AQ93" i="7"/>
  <c r="AM93" i="7"/>
  <c r="AI93" i="7"/>
  <c r="AE93" i="7"/>
  <c r="Z93" i="7"/>
  <c r="V93" i="7"/>
  <c r="R93" i="7"/>
  <c r="N93" i="7"/>
  <c r="I93" i="7"/>
  <c r="J93" i="7" s="1"/>
  <c r="AQ92" i="7"/>
  <c r="AM92" i="7"/>
  <c r="AI92" i="7"/>
  <c r="AE92" i="7"/>
  <c r="Z92" i="7"/>
  <c r="V92" i="7"/>
  <c r="R92" i="7"/>
  <c r="N92" i="7"/>
  <c r="I92" i="7"/>
  <c r="J92" i="7" s="1"/>
  <c r="AQ91" i="7"/>
  <c r="AM91" i="7"/>
  <c r="AI91" i="7"/>
  <c r="AE91" i="7"/>
  <c r="Z91" i="7"/>
  <c r="V91" i="7"/>
  <c r="R91" i="7"/>
  <c r="N91" i="7"/>
  <c r="I91" i="7"/>
  <c r="J91" i="7" s="1"/>
  <c r="AQ88" i="7"/>
  <c r="AM88" i="7"/>
  <c r="AI88" i="7"/>
  <c r="AE88" i="7"/>
  <c r="Z88" i="7"/>
  <c r="V88" i="7"/>
  <c r="R88" i="7"/>
  <c r="N88" i="7"/>
  <c r="I88" i="7"/>
  <c r="J88" i="7" s="1"/>
  <c r="AQ87" i="7"/>
  <c r="AM87" i="7"/>
  <c r="AI87" i="7"/>
  <c r="AE87" i="7"/>
  <c r="Z87" i="7"/>
  <c r="V87" i="7"/>
  <c r="R87" i="7"/>
  <c r="N87" i="7"/>
  <c r="I87" i="7"/>
  <c r="J87" i="7" s="1"/>
  <c r="AP84" i="7"/>
  <c r="AO84" i="7"/>
  <c r="AN84" i="7"/>
  <c r="AL84" i="7"/>
  <c r="AK84" i="7"/>
  <c r="AJ84" i="7"/>
  <c r="AH84" i="7"/>
  <c r="AG84" i="7"/>
  <c r="AF84" i="7"/>
  <c r="AD84" i="7"/>
  <c r="AC84" i="7"/>
  <c r="AB84" i="7"/>
  <c r="Y84" i="7"/>
  <c r="X84" i="7"/>
  <c r="W84" i="7"/>
  <c r="U84" i="7"/>
  <c r="T84" i="7"/>
  <c r="S84" i="7"/>
  <c r="Q84" i="7"/>
  <c r="P84" i="7"/>
  <c r="O84" i="7"/>
  <c r="M84" i="7"/>
  <c r="L84" i="7"/>
  <c r="K84" i="7"/>
  <c r="H84" i="7"/>
  <c r="G84" i="7"/>
  <c r="F84" i="7"/>
  <c r="AQ83" i="7"/>
  <c r="AM83" i="7"/>
  <c r="AI83" i="7"/>
  <c r="AE83" i="7"/>
  <c r="Z83" i="7"/>
  <c r="V83" i="7"/>
  <c r="R83" i="7"/>
  <c r="N83" i="7"/>
  <c r="I83" i="7"/>
  <c r="J83" i="7" s="1"/>
  <c r="AQ82" i="7"/>
  <c r="AM82" i="7"/>
  <c r="AI82" i="7"/>
  <c r="AE82" i="7"/>
  <c r="Z82" i="7"/>
  <c r="V82" i="7"/>
  <c r="R82" i="7"/>
  <c r="N82" i="7"/>
  <c r="I82" i="7"/>
  <c r="J82" i="7" s="1"/>
  <c r="AM78" i="7"/>
  <c r="AM77" i="7"/>
  <c r="AM76" i="7"/>
  <c r="AM75" i="7"/>
  <c r="AM74" i="7"/>
  <c r="AM73" i="7"/>
  <c r="AM72" i="7"/>
  <c r="AM71" i="7"/>
  <c r="AM70" i="7"/>
  <c r="AM69" i="7"/>
  <c r="AM68" i="7"/>
  <c r="AM67" i="7"/>
  <c r="AM66" i="7"/>
  <c r="AM65" i="7"/>
  <c r="AM64" i="7"/>
  <c r="AM63" i="7"/>
  <c r="AM61" i="7"/>
  <c r="AM60" i="7"/>
  <c r="AM59" i="7"/>
  <c r="AM58" i="7"/>
  <c r="AM57" i="7"/>
  <c r="AM56" i="7"/>
  <c r="AM55" i="7"/>
  <c r="AM53" i="7"/>
  <c r="AM52" i="7"/>
  <c r="AM51" i="7"/>
  <c r="AM50" i="7"/>
  <c r="AM49" i="7"/>
  <c r="AM48" i="7"/>
  <c r="AM47" i="7"/>
  <c r="AM46" i="7"/>
  <c r="AM45" i="7"/>
  <c r="AM44" i="7"/>
  <c r="AM43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1" i="7"/>
  <c r="AI60" i="7"/>
  <c r="AI59" i="7"/>
  <c r="AI58" i="7"/>
  <c r="AI57" i="7"/>
  <c r="AI56" i="7"/>
  <c r="AI55" i="7"/>
  <c r="AI53" i="7"/>
  <c r="AI52" i="7"/>
  <c r="AI51" i="7"/>
  <c r="AI50" i="7"/>
  <c r="AI49" i="7"/>
  <c r="AI48" i="7"/>
  <c r="AI47" i="7"/>
  <c r="AI46" i="7"/>
  <c r="AI45" i="7"/>
  <c r="AI44" i="7"/>
  <c r="AI43" i="7"/>
  <c r="AE78" i="7"/>
  <c r="AE77" i="7"/>
  <c r="AE76" i="7"/>
  <c r="AE75" i="7"/>
  <c r="AE74" i="7"/>
  <c r="AE73" i="7"/>
  <c r="AE72" i="7"/>
  <c r="AE71" i="7"/>
  <c r="AE70" i="7"/>
  <c r="AE69" i="7"/>
  <c r="AE68" i="7"/>
  <c r="AE67" i="7"/>
  <c r="AE66" i="7"/>
  <c r="AE65" i="7"/>
  <c r="AE64" i="7"/>
  <c r="AE63" i="7"/>
  <c r="AE61" i="7"/>
  <c r="AE60" i="7"/>
  <c r="AE59" i="7"/>
  <c r="AE58" i="7"/>
  <c r="AE57" i="7"/>
  <c r="AE56" i="7"/>
  <c r="AE55" i="7"/>
  <c r="AE53" i="7"/>
  <c r="AE52" i="7"/>
  <c r="AE51" i="7"/>
  <c r="AE50" i="7"/>
  <c r="AE49" i="7"/>
  <c r="AE48" i="7"/>
  <c r="AE47" i="7"/>
  <c r="AE46" i="7"/>
  <c r="AE45" i="7"/>
  <c r="AE44" i="7"/>
  <c r="AE43" i="7"/>
  <c r="AQ78" i="7"/>
  <c r="AQ77" i="7"/>
  <c r="AQ76" i="7"/>
  <c r="AQ75" i="7"/>
  <c r="AQ74" i="7"/>
  <c r="AQ73" i="7"/>
  <c r="AQ72" i="7"/>
  <c r="AQ71" i="7"/>
  <c r="AQ70" i="7"/>
  <c r="AQ69" i="7"/>
  <c r="AQ68" i="7"/>
  <c r="AQ67" i="7"/>
  <c r="AQ66" i="7"/>
  <c r="AQ65" i="7"/>
  <c r="AQ64" i="7"/>
  <c r="AR64" i="7" s="1"/>
  <c r="AQ63" i="7"/>
  <c r="AQ61" i="7"/>
  <c r="AQ60" i="7"/>
  <c r="AQ59" i="7"/>
  <c r="AQ58" i="7"/>
  <c r="AQ57" i="7"/>
  <c r="AQ56" i="7"/>
  <c r="AQ55" i="7"/>
  <c r="AQ53" i="7"/>
  <c r="AR53" i="7" s="1"/>
  <c r="AQ52" i="7"/>
  <c r="AR52" i="7" s="1"/>
  <c r="AQ51" i="7"/>
  <c r="AR51" i="7" s="1"/>
  <c r="AQ50" i="7"/>
  <c r="AQ49" i="7"/>
  <c r="AQ48" i="7"/>
  <c r="AQ47" i="7"/>
  <c r="AQ46" i="7"/>
  <c r="AQ45" i="7"/>
  <c r="AQ44" i="7"/>
  <c r="Z78" i="7"/>
  <c r="Z77" i="7"/>
  <c r="Z76" i="7"/>
  <c r="Z75" i="7"/>
  <c r="Z74" i="7"/>
  <c r="Z73" i="7"/>
  <c r="Z72" i="7"/>
  <c r="Z71" i="7"/>
  <c r="Z70" i="7"/>
  <c r="Z69" i="7"/>
  <c r="Z68" i="7"/>
  <c r="Z67" i="7"/>
  <c r="Z66" i="7"/>
  <c r="Z65" i="7"/>
  <c r="Z64" i="7"/>
  <c r="Z63" i="7"/>
  <c r="Z61" i="7"/>
  <c r="Z60" i="7"/>
  <c r="Z59" i="7"/>
  <c r="Z58" i="7"/>
  <c r="Z57" i="7"/>
  <c r="Z56" i="7"/>
  <c r="Z55" i="7"/>
  <c r="Z53" i="7"/>
  <c r="Z52" i="7"/>
  <c r="Z51" i="7"/>
  <c r="Z50" i="7"/>
  <c r="Z49" i="7"/>
  <c r="Z48" i="7"/>
  <c r="Z47" i="7"/>
  <c r="Z46" i="7"/>
  <c r="Z45" i="7"/>
  <c r="Z44" i="7"/>
  <c r="V78" i="7"/>
  <c r="V77" i="7"/>
  <c r="V76" i="7"/>
  <c r="V75" i="7"/>
  <c r="V74" i="7"/>
  <c r="V73" i="7"/>
  <c r="V72" i="7"/>
  <c r="V71" i="7"/>
  <c r="V70" i="7"/>
  <c r="V69" i="7"/>
  <c r="V68" i="7"/>
  <c r="V67" i="7"/>
  <c r="V66" i="7"/>
  <c r="V65" i="7"/>
  <c r="V64" i="7"/>
  <c r="V63" i="7"/>
  <c r="V61" i="7"/>
  <c r="V60" i="7"/>
  <c r="V59" i="7"/>
  <c r="V58" i="7"/>
  <c r="V57" i="7"/>
  <c r="V56" i="7"/>
  <c r="V55" i="7"/>
  <c r="V53" i="7"/>
  <c r="V52" i="7"/>
  <c r="V51" i="7"/>
  <c r="V50" i="7"/>
  <c r="V49" i="7"/>
  <c r="V48" i="7"/>
  <c r="V47" i="7"/>
  <c r="V46" i="7"/>
  <c r="V45" i="7"/>
  <c r="V44" i="7"/>
  <c r="V43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1" i="7"/>
  <c r="R60" i="7"/>
  <c r="R59" i="7"/>
  <c r="R58" i="7"/>
  <c r="R57" i="7"/>
  <c r="R56" i="7"/>
  <c r="R55" i="7"/>
  <c r="R53" i="7"/>
  <c r="R52" i="7"/>
  <c r="R51" i="7"/>
  <c r="R50" i="7"/>
  <c r="R49" i="7"/>
  <c r="R48" i="7"/>
  <c r="R47" i="7"/>
  <c r="R46" i="7"/>
  <c r="R45" i="7"/>
  <c r="R44" i="7"/>
  <c r="R43" i="7"/>
  <c r="N78" i="7"/>
  <c r="N77" i="7"/>
  <c r="N76" i="7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1" i="7"/>
  <c r="N60" i="7"/>
  <c r="N59" i="7"/>
  <c r="N58" i="7"/>
  <c r="N57" i="7"/>
  <c r="N56" i="7"/>
  <c r="N55" i="7"/>
  <c r="N53" i="7"/>
  <c r="N52" i="7"/>
  <c r="N51" i="7"/>
  <c r="N50" i="7"/>
  <c r="N49" i="7"/>
  <c r="N48" i="7"/>
  <c r="N47" i="7"/>
  <c r="N46" i="7"/>
  <c r="N45" i="7"/>
  <c r="N44" i="7"/>
  <c r="N43" i="7"/>
  <c r="H79" i="7"/>
  <c r="I78" i="7"/>
  <c r="J78" i="7" s="1"/>
  <c r="I77" i="7"/>
  <c r="J77" i="7" s="1"/>
  <c r="I76" i="7"/>
  <c r="J76" i="7" s="1"/>
  <c r="I75" i="7"/>
  <c r="J75" i="7" s="1"/>
  <c r="I74" i="7"/>
  <c r="J74" i="7" s="1"/>
  <c r="I73" i="7"/>
  <c r="J73" i="7" s="1"/>
  <c r="I72" i="7"/>
  <c r="J72" i="7" s="1"/>
  <c r="I71" i="7"/>
  <c r="J71" i="7" s="1"/>
  <c r="I70" i="7"/>
  <c r="J70" i="7" s="1"/>
  <c r="I69" i="7"/>
  <c r="J69" i="7" s="1"/>
  <c r="I68" i="7"/>
  <c r="J68" i="7" s="1"/>
  <c r="I67" i="7"/>
  <c r="J67" i="7" s="1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J58" i="7" s="1"/>
  <c r="I57" i="7"/>
  <c r="J57" i="7" s="1"/>
  <c r="I56" i="7"/>
  <c r="J56" i="7" s="1"/>
  <c r="I55" i="7"/>
  <c r="J55" i="7" s="1"/>
  <c r="I54" i="7"/>
  <c r="J54" i="7" s="1"/>
  <c r="I53" i="7"/>
  <c r="J53" i="7" s="1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J46" i="7" s="1"/>
  <c r="I45" i="7"/>
  <c r="J45" i="7" s="1"/>
  <c r="I44" i="7"/>
  <c r="J44" i="7" s="1"/>
  <c r="I43" i="7"/>
  <c r="J43" i="7" s="1"/>
  <c r="S79" i="7"/>
  <c r="Q79" i="7"/>
  <c r="P79" i="7"/>
  <c r="O79" i="7"/>
  <c r="M79" i="7"/>
  <c r="L79" i="7"/>
  <c r="K79" i="7"/>
  <c r="G79" i="7"/>
  <c r="F79" i="7"/>
  <c r="AQ43" i="7"/>
  <c r="Z43" i="7"/>
  <c r="AQ38" i="7"/>
  <c r="AQ37" i="7"/>
  <c r="AM38" i="7"/>
  <c r="AM37" i="7"/>
  <c r="AI38" i="7"/>
  <c r="AI37" i="7"/>
  <c r="AE38" i="7"/>
  <c r="AE37" i="7"/>
  <c r="Z38" i="7"/>
  <c r="Z37" i="7"/>
  <c r="V38" i="7"/>
  <c r="V37" i="7"/>
  <c r="R38" i="7"/>
  <c r="R37" i="7"/>
  <c r="N38" i="7"/>
  <c r="N37" i="7"/>
  <c r="I38" i="7"/>
  <c r="J38" i="7" s="1"/>
  <c r="I37" i="7"/>
  <c r="J37" i="7" s="1"/>
  <c r="I39" i="7"/>
  <c r="J39" i="7" s="1"/>
  <c r="Q40" i="7"/>
  <c r="P40" i="7"/>
  <c r="O40" i="7"/>
  <c r="M40" i="7"/>
  <c r="L40" i="7"/>
  <c r="K40" i="7"/>
  <c r="H40" i="7"/>
  <c r="G40" i="7"/>
  <c r="F40" i="7"/>
  <c r="R39" i="7"/>
  <c r="N39" i="7"/>
  <c r="N36" i="7"/>
  <c r="I36" i="7"/>
  <c r="J36" i="7" s="1"/>
  <c r="O33" i="7"/>
  <c r="M33" i="7"/>
  <c r="L33" i="7"/>
  <c r="K33" i="7"/>
  <c r="G33" i="7"/>
  <c r="H33" i="7"/>
  <c r="F33" i="7"/>
  <c r="F27" i="7"/>
  <c r="H27" i="7"/>
  <c r="G27" i="7"/>
  <c r="AN18" i="7"/>
  <c r="AP18" i="7"/>
  <c r="AO18" i="7"/>
  <c r="AL18" i="7"/>
  <c r="AK18" i="7"/>
  <c r="AJ18" i="7"/>
  <c r="AH18" i="7"/>
  <c r="AG18" i="7"/>
  <c r="AF18" i="7"/>
  <c r="AD18" i="7"/>
  <c r="AC18" i="7"/>
  <c r="AB18" i="7"/>
  <c r="Y18" i="7"/>
  <c r="X18" i="7"/>
  <c r="W18" i="7"/>
  <c r="U18" i="7"/>
  <c r="T18" i="7"/>
  <c r="S18" i="7"/>
  <c r="Q18" i="7"/>
  <c r="P18" i="7"/>
  <c r="O18" i="7"/>
  <c r="M18" i="7"/>
  <c r="L18" i="7"/>
  <c r="K18" i="7"/>
  <c r="G18" i="7"/>
  <c r="H18" i="7"/>
  <c r="F18" i="7"/>
  <c r="I32" i="7"/>
  <c r="J32" i="7" s="1"/>
  <c r="R31" i="7"/>
  <c r="N31" i="7"/>
  <c r="I31" i="7"/>
  <c r="I21" i="7"/>
  <c r="J21" i="7" s="1"/>
  <c r="AQ26" i="7"/>
  <c r="AM26" i="7"/>
  <c r="AI26" i="7"/>
  <c r="AE26" i="7"/>
  <c r="Z26" i="7"/>
  <c r="V26" i="7"/>
  <c r="R26" i="7"/>
  <c r="N26" i="7"/>
  <c r="I26" i="7"/>
  <c r="J26" i="7" s="1"/>
  <c r="AQ25" i="7"/>
  <c r="AM25" i="7"/>
  <c r="AI25" i="7"/>
  <c r="AE25" i="7"/>
  <c r="R25" i="7"/>
  <c r="N25" i="7"/>
  <c r="I25" i="7"/>
  <c r="J25" i="7" s="1"/>
  <c r="AI24" i="7"/>
  <c r="AE24" i="7"/>
  <c r="Z24" i="7"/>
  <c r="V24" i="7"/>
  <c r="R24" i="7"/>
  <c r="N24" i="7"/>
  <c r="I24" i="7"/>
  <c r="J24" i="7" s="1"/>
  <c r="AQ23" i="7"/>
  <c r="AM23" i="7"/>
  <c r="AI23" i="7"/>
  <c r="AE23" i="7"/>
  <c r="Z23" i="7"/>
  <c r="V23" i="7"/>
  <c r="R23" i="7"/>
  <c r="N23" i="7"/>
  <c r="I23" i="7"/>
  <c r="J23" i="7" s="1"/>
  <c r="AQ22" i="7"/>
  <c r="AM22" i="7"/>
  <c r="AI22" i="7"/>
  <c r="AE22" i="7"/>
  <c r="Z22" i="7"/>
  <c r="V22" i="7"/>
  <c r="R22" i="7"/>
  <c r="N22" i="7"/>
  <c r="I22" i="7"/>
  <c r="J22" i="7" s="1"/>
  <c r="AQ21" i="7"/>
  <c r="AM21" i="7"/>
  <c r="AI21" i="7"/>
  <c r="AE21" i="7"/>
  <c r="Z21" i="7"/>
  <c r="V21" i="7"/>
  <c r="R21" i="7"/>
  <c r="N21" i="7"/>
  <c r="AQ20" i="7"/>
  <c r="AM20" i="7"/>
  <c r="AI20" i="7"/>
  <c r="AE20" i="7"/>
  <c r="Z20" i="7"/>
  <c r="V20" i="7"/>
  <c r="R20" i="7"/>
  <c r="N20" i="7"/>
  <c r="I20" i="7"/>
  <c r="J20" i="7" s="1"/>
  <c r="AQ16" i="7"/>
  <c r="AM14" i="7"/>
  <c r="AI15" i="7"/>
  <c r="AE14" i="7"/>
  <c r="AQ17" i="7"/>
  <c r="AM17" i="7"/>
  <c r="AI17" i="7"/>
  <c r="AE17" i="7"/>
  <c r="AM16" i="7"/>
  <c r="AI16" i="7"/>
  <c r="AE16" i="7"/>
  <c r="AQ15" i="7"/>
  <c r="AM15" i="7"/>
  <c r="AE15" i="7"/>
  <c r="AQ14" i="7"/>
  <c r="AI14" i="7"/>
  <c r="AQ13" i="7"/>
  <c r="AM13" i="7"/>
  <c r="AI13" i="7"/>
  <c r="AE13" i="7"/>
  <c r="AQ12" i="7"/>
  <c r="AM12" i="7"/>
  <c r="AI12" i="7"/>
  <c r="AE12" i="7"/>
  <c r="AQ11" i="7"/>
  <c r="AM11" i="7"/>
  <c r="AI11" i="7"/>
  <c r="AE11" i="7"/>
  <c r="Z12" i="7"/>
  <c r="Z17" i="7"/>
  <c r="Z16" i="7"/>
  <c r="Z15" i="7"/>
  <c r="Z14" i="7"/>
  <c r="Z13" i="7"/>
  <c r="Z11" i="7"/>
  <c r="V17" i="7"/>
  <c r="V16" i="7"/>
  <c r="V15" i="7"/>
  <c r="V14" i="7"/>
  <c r="V13" i="7"/>
  <c r="V12" i="7"/>
  <c r="V11" i="7"/>
  <c r="R12" i="7"/>
  <c r="R11" i="7"/>
  <c r="R17" i="7"/>
  <c r="R16" i="7"/>
  <c r="R15" i="7"/>
  <c r="R14" i="7"/>
  <c r="R13" i="7"/>
  <c r="N11" i="7"/>
  <c r="N17" i="7"/>
  <c r="N16" i="7"/>
  <c r="N13" i="7"/>
  <c r="N12" i="7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AC62" i="7" l="1"/>
  <c r="AD62" i="7" s="1"/>
  <c r="AF62" i="7" s="1"/>
  <c r="Z62" i="7"/>
  <c r="AA62" i="7" s="1"/>
  <c r="T54" i="7"/>
  <c r="U54" i="7" s="1"/>
  <c r="W54" i="7" s="1"/>
  <c r="V54" i="7"/>
  <c r="R54" i="7"/>
  <c r="R79" i="7" s="1"/>
  <c r="S40" i="7"/>
  <c r="V39" i="7"/>
  <c r="W39" i="7" s="1"/>
  <c r="X39" i="7" s="1"/>
  <c r="R36" i="7"/>
  <c r="R40" i="7" s="1"/>
  <c r="X31" i="7"/>
  <c r="Y31" i="7" s="1"/>
  <c r="AB31" i="7" s="1"/>
  <c r="V31" i="7"/>
  <c r="P32" i="7"/>
  <c r="AK27" i="7"/>
  <c r="AL24" i="7"/>
  <c r="AD27" i="7"/>
  <c r="AC27" i="7"/>
  <c r="V25" i="7"/>
  <c r="W27" i="7"/>
  <c r="U27" i="7"/>
  <c r="Z25" i="7"/>
  <c r="X27" i="7"/>
  <c r="Y27" i="7"/>
  <c r="AR65" i="7"/>
  <c r="AR66" i="7"/>
  <c r="AA43" i="7"/>
  <c r="AR76" i="7"/>
  <c r="AR77" i="7"/>
  <c r="AA78" i="7"/>
  <c r="AA46" i="7"/>
  <c r="AA58" i="7"/>
  <c r="AR78" i="7"/>
  <c r="AR90" i="7"/>
  <c r="I100" i="7"/>
  <c r="AA99" i="7"/>
  <c r="AA100" i="7" s="1"/>
  <c r="AR99" i="7"/>
  <c r="AR100" i="7" s="1"/>
  <c r="AI84" i="7"/>
  <c r="Z84" i="7"/>
  <c r="N84" i="7"/>
  <c r="AR89" i="7"/>
  <c r="AA89" i="7"/>
  <c r="AA90" i="7"/>
  <c r="N96" i="7"/>
  <c r="R96" i="7"/>
  <c r="AM84" i="7"/>
  <c r="AA68" i="7"/>
  <c r="AA76" i="7"/>
  <c r="V96" i="7"/>
  <c r="AA88" i="7"/>
  <c r="AA67" i="7"/>
  <c r="AE96" i="7"/>
  <c r="AQ96" i="7"/>
  <c r="AA56" i="7"/>
  <c r="AR91" i="7"/>
  <c r="AA69" i="7"/>
  <c r="AA83" i="7"/>
  <c r="AA87" i="7"/>
  <c r="AR88" i="7"/>
  <c r="AA95" i="7"/>
  <c r="AA70" i="7"/>
  <c r="AA72" i="7"/>
  <c r="AA48" i="7"/>
  <c r="AA59" i="7"/>
  <c r="V84" i="7"/>
  <c r="AR87" i="7"/>
  <c r="AA94" i="7"/>
  <c r="AR95" i="7"/>
  <c r="AA57" i="7"/>
  <c r="AA49" i="7"/>
  <c r="AA50" i="7"/>
  <c r="AE84" i="7"/>
  <c r="AR94" i="7"/>
  <c r="AR61" i="7"/>
  <c r="AR49" i="7"/>
  <c r="AA64" i="7"/>
  <c r="AA52" i="7"/>
  <c r="AA92" i="7"/>
  <c r="I96" i="7"/>
  <c r="AM96" i="7"/>
  <c r="I84" i="7"/>
  <c r="J96" i="7"/>
  <c r="AA91" i="7"/>
  <c r="AR92" i="7"/>
  <c r="Z96" i="7"/>
  <c r="AA60" i="7"/>
  <c r="AA93" i="7"/>
  <c r="AR93" i="7"/>
  <c r="AA55" i="7"/>
  <c r="AA66" i="7"/>
  <c r="AA77" i="7"/>
  <c r="AI96" i="7"/>
  <c r="R84" i="7"/>
  <c r="AR83" i="7"/>
  <c r="AR82" i="7"/>
  <c r="J84" i="7"/>
  <c r="AA82" i="7"/>
  <c r="AQ84" i="7"/>
  <c r="J79" i="7"/>
  <c r="AR55" i="7"/>
  <c r="AR67" i="7"/>
  <c r="AA73" i="7"/>
  <c r="AA47" i="7"/>
  <c r="AA65" i="7"/>
  <c r="AA74" i="7"/>
  <c r="AA75" i="7"/>
  <c r="AR48" i="7"/>
  <c r="N79" i="7"/>
  <c r="AA61" i="7"/>
  <c r="AA51" i="7"/>
  <c r="AR75" i="7"/>
  <c r="AA44" i="7"/>
  <c r="AA53" i="7"/>
  <c r="AA71" i="7"/>
  <c r="AA45" i="7"/>
  <c r="AA63" i="7"/>
  <c r="AR58" i="7"/>
  <c r="AR70" i="7"/>
  <c r="AR46" i="7"/>
  <c r="AR60" i="7"/>
  <c r="AR73" i="7"/>
  <c r="AR72" i="7"/>
  <c r="AR50" i="7"/>
  <c r="AR59" i="7"/>
  <c r="AR47" i="7"/>
  <c r="AR63" i="7"/>
  <c r="AR71" i="7"/>
  <c r="AR74" i="7"/>
  <c r="AR44" i="7"/>
  <c r="AR45" i="7"/>
  <c r="AR69" i="7"/>
  <c r="AR56" i="7"/>
  <c r="AR68" i="7"/>
  <c r="AR57" i="7"/>
  <c r="AA37" i="7"/>
  <c r="AA38" i="7"/>
  <c r="I79" i="7"/>
  <c r="AR37" i="7"/>
  <c r="AR38" i="7"/>
  <c r="AR43" i="7"/>
  <c r="I33" i="7"/>
  <c r="AI27" i="7"/>
  <c r="AA23" i="7"/>
  <c r="AR16" i="7"/>
  <c r="N33" i="7"/>
  <c r="AM18" i="7"/>
  <c r="AI18" i="7"/>
  <c r="AR11" i="7"/>
  <c r="J31" i="7"/>
  <c r="J33" i="7" s="1"/>
  <c r="R18" i="7"/>
  <c r="AE18" i="7"/>
  <c r="AA16" i="7"/>
  <c r="AQ18" i="7"/>
  <c r="N40" i="7"/>
  <c r="AA13" i="7"/>
  <c r="N27" i="7"/>
  <c r="R27" i="7"/>
  <c r="N18" i="7"/>
  <c r="AA17" i="7"/>
  <c r="AA15" i="7"/>
  <c r="AE27" i="7"/>
  <c r="AA12" i="7"/>
  <c r="V27" i="7"/>
  <c r="AA14" i="7"/>
  <c r="AR12" i="7"/>
  <c r="Z18" i="7"/>
  <c r="AA22" i="7"/>
  <c r="AR23" i="7"/>
  <c r="AR13" i="7"/>
  <c r="AR17" i="7"/>
  <c r="AA21" i="7"/>
  <c r="AR22" i="7"/>
  <c r="AR15" i="7"/>
  <c r="AR26" i="7"/>
  <c r="V18" i="7"/>
  <c r="AR14" i="7"/>
  <c r="AR21" i="7"/>
  <c r="AA26" i="7"/>
  <c r="AA11" i="7"/>
  <c r="AA20" i="7"/>
  <c r="AA25" i="7"/>
  <c r="I40" i="7"/>
  <c r="AR20" i="7"/>
  <c r="AA24" i="7"/>
  <c r="AR25" i="7"/>
  <c r="J40" i="7"/>
  <c r="J27" i="7"/>
  <c r="I27" i="7"/>
  <c r="Z27" i="7"/>
  <c r="J18" i="7"/>
  <c r="AG62" i="7" l="1"/>
  <c r="AH62" i="7" s="1"/>
  <c r="AJ62" i="7" s="1"/>
  <c r="AI62" i="7"/>
  <c r="AE62" i="7"/>
  <c r="X54" i="7"/>
  <c r="Y54" i="7" s="1"/>
  <c r="AB54" i="7" s="1"/>
  <c r="T79" i="7"/>
  <c r="T40" i="7"/>
  <c r="V36" i="7"/>
  <c r="V40" i="7" s="1"/>
  <c r="AC31" i="7"/>
  <c r="AD31" i="7" s="1"/>
  <c r="AF31" i="7" s="1"/>
  <c r="Z31" i="7"/>
  <c r="AA31" i="7" s="1"/>
  <c r="P33" i="7"/>
  <c r="R32" i="7"/>
  <c r="R33" i="7" s="1"/>
  <c r="AL27" i="7"/>
  <c r="AN24" i="7"/>
  <c r="AM24" i="7"/>
  <c r="AM27" i="7" s="1"/>
  <c r="AR84" i="7"/>
  <c r="AA84" i="7"/>
  <c r="AR96" i="7"/>
  <c r="AA96" i="7"/>
  <c r="AA18" i="7"/>
  <c r="AA27" i="7"/>
  <c r="AR18" i="7"/>
  <c r="AK62" i="7" l="1"/>
  <c r="AL62" i="7" s="1"/>
  <c r="AN62" i="7" s="1"/>
  <c r="AM62" i="7"/>
  <c r="AC54" i="7"/>
  <c r="AD54" i="7" s="1"/>
  <c r="AF54" i="7" s="1"/>
  <c r="Z54" i="7"/>
  <c r="AA54" i="7" s="1"/>
  <c r="U79" i="7"/>
  <c r="V79" i="7"/>
  <c r="Z39" i="7"/>
  <c r="AA39" i="7" s="1"/>
  <c r="U40" i="7"/>
  <c r="AE31" i="7"/>
  <c r="AG31" i="7"/>
  <c r="AH31" i="7" s="1"/>
  <c r="AJ31" i="7" s="1"/>
  <c r="AI31" i="7"/>
  <c r="S32" i="7"/>
  <c r="Q33" i="7"/>
  <c r="AO24" i="7"/>
  <c r="AN27" i="7"/>
  <c r="I18" i="7"/>
  <c r="AO62" i="7" l="1"/>
  <c r="AP62" i="7" s="1"/>
  <c r="AQ62" i="7"/>
  <c r="AR62" i="7" s="1"/>
  <c r="AG54" i="7"/>
  <c r="AH54" i="7" s="1"/>
  <c r="AJ54" i="7" s="1"/>
  <c r="AE54" i="7"/>
  <c r="W79" i="7"/>
  <c r="AE39" i="7"/>
  <c r="W40" i="7"/>
  <c r="AK31" i="7"/>
  <c r="AL31" i="7" s="1"/>
  <c r="AN31" i="7" s="1"/>
  <c r="T32" i="7"/>
  <c r="S33" i="7"/>
  <c r="AP24" i="7"/>
  <c r="AO27" i="7"/>
  <c r="AI54" i="7" l="1"/>
  <c r="AK54" i="7"/>
  <c r="AL54" i="7" s="1"/>
  <c r="AN54" i="7" s="1"/>
  <c r="AO54" i="7" s="1"/>
  <c r="AP54" i="7" s="1"/>
  <c r="AM54" i="7"/>
  <c r="X79" i="7"/>
  <c r="X40" i="7"/>
  <c r="Z36" i="7"/>
  <c r="AO31" i="7"/>
  <c r="AP31" i="7" s="1"/>
  <c r="AQ31" i="7"/>
  <c r="AM31" i="7"/>
  <c r="T33" i="7"/>
  <c r="V32" i="7"/>
  <c r="V33" i="7" s="1"/>
  <c r="AP27" i="7"/>
  <c r="AQ24" i="7"/>
  <c r="AA79" i="7" l="1"/>
  <c r="Z79" i="7"/>
  <c r="Y79" i="7"/>
  <c r="AI39" i="7"/>
  <c r="AA36" i="7"/>
  <c r="AA40" i="7" s="1"/>
  <c r="Z40" i="7"/>
  <c r="Y40" i="7"/>
  <c r="AR31" i="7"/>
  <c r="W32" i="7"/>
  <c r="U33" i="7"/>
  <c r="AR24" i="7"/>
  <c r="AR27" i="7" s="1"/>
  <c r="AQ27" i="7"/>
  <c r="AB79" i="7" l="1"/>
  <c r="AB40" i="7"/>
  <c r="X32" i="7"/>
  <c r="W33" i="7"/>
  <c r="AC79" i="7" l="1"/>
  <c r="AE79" i="7"/>
  <c r="AM39" i="7"/>
  <c r="AP39" i="7" s="1"/>
  <c r="AC40" i="7"/>
  <c r="Y32" i="7"/>
  <c r="X33" i="7"/>
  <c r="Z32" i="7"/>
  <c r="AD79" i="7" l="1"/>
  <c r="AD40" i="7"/>
  <c r="AE36" i="7"/>
  <c r="AE40" i="7" s="1"/>
  <c r="AA32" i="7"/>
  <c r="AA33" i="7" s="1"/>
  <c r="Z33" i="7"/>
  <c r="AB32" i="7"/>
  <c r="Y33" i="7"/>
  <c r="AF79" i="7" l="1"/>
  <c r="AQ39" i="7"/>
  <c r="AR39" i="7" s="1"/>
  <c r="AF40" i="7"/>
  <c r="AC32" i="7"/>
  <c r="AB33" i="7"/>
  <c r="AG79" i="7" l="1"/>
  <c r="AI79" i="7"/>
  <c r="AG40" i="7"/>
  <c r="AD32" i="7"/>
  <c r="AC33" i="7"/>
  <c r="AH79" i="7" l="1"/>
  <c r="AH40" i="7"/>
  <c r="AI36" i="7"/>
  <c r="AI40" i="7" s="1"/>
  <c r="AF32" i="7"/>
  <c r="AD33" i="7"/>
  <c r="AE32" i="7"/>
  <c r="AE33" i="7" s="1"/>
  <c r="AJ79" i="7" l="1"/>
  <c r="AJ40" i="7"/>
  <c r="AG32" i="7"/>
  <c r="AF33" i="7"/>
  <c r="AK79" i="7" l="1"/>
  <c r="AK40" i="7"/>
  <c r="AH32" i="7"/>
  <c r="AG33" i="7"/>
  <c r="AL79" i="7" l="1"/>
  <c r="AM79" i="7"/>
  <c r="AL40" i="7"/>
  <c r="AM36" i="7"/>
  <c r="AM40" i="7" s="1"/>
  <c r="AJ32" i="7"/>
  <c r="AH33" i="7"/>
  <c r="AI32" i="7"/>
  <c r="AI33" i="7" s="1"/>
  <c r="AN79" i="7" l="1"/>
  <c r="AN40" i="7"/>
  <c r="AK32" i="7"/>
  <c r="AJ33" i="7"/>
  <c r="AO79" i="7" l="1"/>
  <c r="AO40" i="7"/>
  <c r="AL32" i="7"/>
  <c r="AK33" i="7"/>
  <c r="AP79" i="7" l="1"/>
  <c r="AQ54" i="7"/>
  <c r="AP40" i="7"/>
  <c r="AQ36" i="7"/>
  <c r="AN32" i="7"/>
  <c r="AL33" i="7"/>
  <c r="AM32" i="7"/>
  <c r="AM33" i="7" s="1"/>
  <c r="AR54" i="7" l="1"/>
  <c r="AR79" i="7" s="1"/>
  <c r="AQ79" i="7"/>
  <c r="AQ40" i="7"/>
  <c r="AR36" i="7"/>
  <c r="AR40" i="7" s="1"/>
  <c r="AO32" i="7"/>
  <c r="AN33" i="7"/>
  <c r="AP32" i="7" l="1"/>
  <c r="AO33" i="7"/>
  <c r="AP33" i="7" l="1"/>
  <c r="AQ32" i="7"/>
  <c r="AQ33" i="7" l="1"/>
  <c r="AR32" i="7"/>
  <c r="AR33" i="7" s="1"/>
</calcChain>
</file>

<file path=xl/sharedStrings.xml><?xml version="1.0" encoding="utf-8"?>
<sst xmlns="http://schemas.openxmlformats.org/spreadsheetml/2006/main" count="288" uniqueCount="181">
  <si>
    <t>Company Name:</t>
  </si>
  <si>
    <t>Contact Person:</t>
  </si>
  <si>
    <t>Country:</t>
  </si>
  <si>
    <t>Sales Representative:</t>
  </si>
  <si>
    <t>Product Name</t>
  </si>
  <si>
    <t>Description and Size</t>
  </si>
  <si>
    <t>REF. Product Code</t>
  </si>
  <si>
    <t>Doc. Code of Label</t>
  </si>
  <si>
    <t>Sterlization Method</t>
  </si>
  <si>
    <t>Oct</t>
  </si>
  <si>
    <t>Nov</t>
  </si>
  <si>
    <t>Dec</t>
  </si>
  <si>
    <t>Q4 2024</t>
  </si>
  <si>
    <t>2024 Q4 TOTAL</t>
  </si>
  <si>
    <t>Jan</t>
  </si>
  <si>
    <t>Feb</t>
  </si>
  <si>
    <t>Mar</t>
  </si>
  <si>
    <t>Q1 2025</t>
  </si>
  <si>
    <t>Apr</t>
  </si>
  <si>
    <t>May</t>
  </si>
  <si>
    <t>Jun</t>
  </si>
  <si>
    <t>Q2 2025</t>
  </si>
  <si>
    <t>Jul</t>
  </si>
  <si>
    <t>Aug</t>
  </si>
  <si>
    <t>Sep</t>
  </si>
  <si>
    <t>Q3 2025</t>
  </si>
  <si>
    <t>Q4 2025</t>
  </si>
  <si>
    <t>2025 TOTAL</t>
  </si>
  <si>
    <t>Q1 2026</t>
  </si>
  <si>
    <t>Q2 2026</t>
  </si>
  <si>
    <t>Q3 2026</t>
  </si>
  <si>
    <t>Q4 2026</t>
  </si>
  <si>
    <t>2026 TOTAL</t>
  </si>
  <si>
    <t>(Product Code)</t>
  </si>
  <si>
    <t>DIALYZERS: POLYSULFONE (PS) GAMMA RAY</t>
  </si>
  <si>
    <t>LOW FLUX</t>
  </si>
  <si>
    <t>NephroPS10R</t>
  </si>
  <si>
    <t xml:space="preserve">PS 1.0 m2 Low Flux </t>
  </si>
  <si>
    <t>L720RDD003</t>
  </si>
  <si>
    <t>GAMMA RAYS</t>
  </si>
  <si>
    <t>NephroPS13R</t>
  </si>
  <si>
    <t xml:space="preserve">PS 1.3 m2 Low Flux </t>
  </si>
  <si>
    <t>L720RDD008</t>
  </si>
  <si>
    <t>NephroPS14R</t>
  </si>
  <si>
    <t xml:space="preserve">PS 1.4 m2 Low Flux </t>
  </si>
  <si>
    <t>NephroPS16R</t>
  </si>
  <si>
    <t xml:space="preserve">PS 1.6 m2 Low Flux </t>
  </si>
  <si>
    <t>L720RDD013</t>
  </si>
  <si>
    <t>NephroPS18R</t>
  </si>
  <si>
    <t xml:space="preserve">PS 1.8 m2 Low Flux </t>
  </si>
  <si>
    <t>L720RDD018</t>
  </si>
  <si>
    <t>NephroPS20R</t>
  </si>
  <si>
    <t xml:space="preserve">PS 2.0 m2 Low Flux </t>
  </si>
  <si>
    <t>L720RDD023</t>
  </si>
  <si>
    <t>NephroPS22R</t>
  </si>
  <si>
    <t xml:space="preserve">PS 2.2 m2 Low Flux </t>
  </si>
  <si>
    <t>TOTAL</t>
  </si>
  <si>
    <t>HIGH FLUX</t>
  </si>
  <si>
    <t>NephroPS100R</t>
  </si>
  <si>
    <t xml:space="preserve">PS 1.0 m2 High Flux </t>
  </si>
  <si>
    <t>L720RDD043</t>
  </si>
  <si>
    <t>NephroPS130R</t>
  </si>
  <si>
    <t xml:space="preserve">PS 1.3 m2 High Flux </t>
  </si>
  <si>
    <t>L720RDD048</t>
  </si>
  <si>
    <t>NephroPS140R</t>
  </si>
  <si>
    <t xml:space="preserve">PS 1.4 m2 High Flux </t>
  </si>
  <si>
    <t>NephroPS160R</t>
  </si>
  <si>
    <t xml:space="preserve">PS 1.6 m2 High Flux </t>
  </si>
  <si>
    <t>L720RDD053</t>
  </si>
  <si>
    <t>NephroPS180R</t>
  </si>
  <si>
    <t xml:space="preserve">PS 1.8 m2 HighFlux </t>
  </si>
  <si>
    <t>L720RDD058</t>
  </si>
  <si>
    <t>NephroPS200R</t>
  </si>
  <si>
    <t>PS 2.0 m2 High Flux</t>
  </si>
  <si>
    <t>L720RDD063</t>
  </si>
  <si>
    <t>NephroPS220R</t>
  </si>
  <si>
    <t>PS 2.2 m2 High Flux</t>
  </si>
  <si>
    <t>ETHYLENE OXIDE</t>
  </si>
  <si>
    <t>BICARBONATE SODIUM POWDER BAG &amp; CARTRIDGES</t>
  </si>
  <si>
    <t>NephroBag650</t>
  </si>
  <si>
    <t>Bic. Sodium Bag 650 gr</t>
  </si>
  <si>
    <t>NephroCart650</t>
  </si>
  <si>
    <t>Bic. Sodium Cart. 650 gr</t>
  </si>
  <si>
    <t>BLOODLINE SETS</t>
  </si>
  <si>
    <t>NephroLineU</t>
  </si>
  <si>
    <t>Blood line sets for all machines Universal bloodlines</t>
  </si>
  <si>
    <t>NephroLineB</t>
  </si>
  <si>
    <t>Blood line sets for B-Braun machines</t>
  </si>
  <si>
    <t>NephroLineG</t>
  </si>
  <si>
    <t>Blood line set for Gambro machines</t>
  </si>
  <si>
    <t>NephroLineF</t>
  </si>
  <si>
    <t>Blood line sets for Fresenius machines</t>
  </si>
  <si>
    <t>FISTULA NEEDLE SETS</t>
  </si>
  <si>
    <t>NephroNeedle15ASE</t>
  </si>
  <si>
    <r>
      <t xml:space="preserve">Fistula Needle, Arterial Line, 15G (1.8 * 25 mm) </t>
    </r>
    <r>
      <rPr>
        <i/>
        <sz val="10"/>
        <color rgb="FFFF0000"/>
        <rFont val="Helvetica"/>
        <family val="2"/>
      </rPr>
      <t>150 mm</t>
    </r>
  </si>
  <si>
    <t>NephroNeedle15VSE</t>
  </si>
  <si>
    <r>
      <t xml:space="preserve">Fistula Needle, Venous line, 15G (1.8 * 25 mm) </t>
    </r>
    <r>
      <rPr>
        <i/>
        <sz val="10"/>
        <color rgb="FFFF0000"/>
        <rFont val="Helvetica"/>
        <family val="2"/>
      </rPr>
      <t>150 mm</t>
    </r>
  </si>
  <si>
    <t>NephroNeedle15AVSE</t>
  </si>
  <si>
    <r>
      <t xml:space="preserve">Fistula Needle Set, Arterial+ Venous Line, 15G (1.8 * 25 mm) </t>
    </r>
    <r>
      <rPr>
        <i/>
        <sz val="10"/>
        <color rgb="FFFF0000"/>
        <rFont val="Helvetica"/>
        <family val="2"/>
      </rPr>
      <t>150 mm</t>
    </r>
  </si>
  <si>
    <t>NephroNeedle15ASR</t>
  </si>
  <si>
    <t>NephroNeedle15VSR</t>
  </si>
  <si>
    <t>NephroNeedle15AVSR</t>
  </si>
  <si>
    <t>NephroNeedle15ALE</t>
  </si>
  <si>
    <t>Fistula Needle, Arterial Line, 15G (1.8 * 25 mm) 300 mm</t>
  </si>
  <si>
    <t>NephroNeedle15VLE</t>
  </si>
  <si>
    <t>Fistula Needle, Venous line, 15G (1.8 * 25 mm) 300 mm</t>
  </si>
  <si>
    <t>NephroNeedle15AVLE</t>
  </si>
  <si>
    <t>Fistula Needle Set, Arterial+ Venous Line, 15G (1.8 * 25 mm) 300 mm</t>
  </si>
  <si>
    <t>NephroNeedle15ALR</t>
  </si>
  <si>
    <t>NephroNeedle15VLR</t>
  </si>
  <si>
    <t>NephroNeedle15AVLR</t>
  </si>
  <si>
    <t>Fistula Needle, Arterial+ Venous Line, 15G (1.8 * 25 mm) 300 mm</t>
  </si>
  <si>
    <t>NephroNeedle16ASE</t>
  </si>
  <si>
    <r>
      <t xml:space="preserve">Fistula Needle, Arterial Line, 16G (1.6 * 25 mm) </t>
    </r>
    <r>
      <rPr>
        <i/>
        <sz val="10"/>
        <color rgb="FFFF0000"/>
        <rFont val="Helvetica"/>
        <family val="2"/>
      </rPr>
      <t>150 mm</t>
    </r>
  </si>
  <si>
    <t>NephroNeedle16VSE</t>
  </si>
  <si>
    <r>
      <t xml:space="preserve">Fistula Needle, Venous line, 16G (1.6 * 25 mm) </t>
    </r>
    <r>
      <rPr>
        <i/>
        <sz val="10"/>
        <color rgb="FFFF0000"/>
        <rFont val="Helvetica"/>
        <family val="2"/>
      </rPr>
      <t>150 mm</t>
    </r>
  </si>
  <si>
    <t>NephroNeedle16AVSE</t>
  </si>
  <si>
    <r>
      <t xml:space="preserve">Fistula Needle Set, Arterial+ Venous Line, 16G (1.6 * 25 mm) </t>
    </r>
    <r>
      <rPr>
        <i/>
        <sz val="10"/>
        <color rgb="FFFF0000"/>
        <rFont val="Helvetica"/>
        <family val="2"/>
      </rPr>
      <t>150 mm</t>
    </r>
  </si>
  <si>
    <t>NephroNeedle16ASR</t>
  </si>
  <si>
    <t>NephroNeedle16VSR</t>
  </si>
  <si>
    <t>NephroNeedle16AVSR</t>
  </si>
  <si>
    <t>NephroNeedle16ALE</t>
  </si>
  <si>
    <t>Fistula Needle, Arterial Line, 16G (1.6 * 25 mm) 300 mm</t>
  </si>
  <si>
    <t>NephroNeedle16VLE</t>
  </si>
  <si>
    <t>Fistula Needle, Venous line, 16G (1.6 * 25 mm) 300 mm</t>
  </si>
  <si>
    <t>NephroNeedle16AVLE</t>
  </si>
  <si>
    <t>Fistula Needle Set, Arterial+ Venous Line, 16G (1.6 * 25 mm) 300 mm</t>
  </si>
  <si>
    <t>NephroNeedle16ALR</t>
  </si>
  <si>
    <t>NephroNeedle16VLR</t>
  </si>
  <si>
    <t>Fistula Needle, Venous line, 16G (1.6 * 25 mm) 300 m</t>
  </si>
  <si>
    <t>NephroNeedle16AVLR</t>
  </si>
  <si>
    <t>Fistula Needle, Arterial+ Venous Line, 16G (1.6 * 25 mm) 300 mm</t>
  </si>
  <si>
    <t>NephroNeedle17ASE</t>
  </si>
  <si>
    <r>
      <t xml:space="preserve">Fistula Needle, Arterial Line, 17G (1.4 * 25 mm) </t>
    </r>
    <r>
      <rPr>
        <i/>
        <sz val="10"/>
        <color rgb="FFFF0000"/>
        <rFont val="Helvetica"/>
        <family val="2"/>
      </rPr>
      <t>150 mm</t>
    </r>
  </si>
  <si>
    <t>NephroNeedle17VSE</t>
  </si>
  <si>
    <r>
      <t xml:space="preserve">Fistula Needle, Venous line, 17G (1.4 * 25 mm) </t>
    </r>
    <r>
      <rPr>
        <i/>
        <sz val="10"/>
        <color rgb="FFFF0000"/>
        <rFont val="Helvetica"/>
        <family val="2"/>
      </rPr>
      <t>150 mm</t>
    </r>
  </si>
  <si>
    <t>NephroNeedle17AVSE</t>
  </si>
  <si>
    <r>
      <t xml:space="preserve">Fistula Needle, Arterial+ Venous Line, 17G (1.4 * 25 mm) </t>
    </r>
    <r>
      <rPr>
        <i/>
        <sz val="10"/>
        <color rgb="FFFF0000"/>
        <rFont val="Helvetica"/>
        <family val="2"/>
      </rPr>
      <t>150 mm</t>
    </r>
  </si>
  <si>
    <t>NephroNeedle17ASR</t>
  </si>
  <si>
    <t>NephroNeedle17VSR</t>
  </si>
  <si>
    <t>NephroNeedle17AVSR</t>
  </si>
  <si>
    <t>NephroNeedle17ALE</t>
  </si>
  <si>
    <t>Fistula Needle, Arterial Line, 17G (1.4 * 25 mm) 300 mm</t>
  </si>
  <si>
    <t>NephroNeedle17VLE</t>
  </si>
  <si>
    <t>Fistula Needle, Venous line, 17G (1.4 * 25 mm) 300 mm</t>
  </si>
  <si>
    <t>NephroNeedle17AVLE</t>
  </si>
  <si>
    <t>Fistula Needle, Arterial+ Venous Line, 17G (1.4 * 25 mm) 300 mm</t>
  </si>
  <si>
    <t>NephroNeedle17ALR</t>
  </si>
  <si>
    <t>NephroNeedle17VLR</t>
  </si>
  <si>
    <t>NephroNeedle17AVLR</t>
  </si>
  <si>
    <t>HEMODIALYSIS MACHINE</t>
  </si>
  <si>
    <t>NephroHDM1</t>
  </si>
  <si>
    <t>Hemodialysis Machine 1 Pump</t>
  </si>
  <si>
    <t>N/A</t>
  </si>
  <si>
    <t>NephroHDM2</t>
  </si>
  <si>
    <t>Hemodialysis Machine 2 Pumps</t>
  </si>
  <si>
    <t>REVERSE OSMOSIS MACHINES</t>
  </si>
  <si>
    <t>NephroCRO - NCS1</t>
  </si>
  <si>
    <t>Central Reverse Osmosis Unit Single Pass 1 Module</t>
  </si>
  <si>
    <t>NephroCRO - NCS2</t>
  </si>
  <si>
    <t>Central Reverse Osmosis Unit Single Pass 2 Module</t>
  </si>
  <si>
    <t>NephroCRO - NCS3</t>
  </si>
  <si>
    <t>Central Reverse Osmosis Unit Single Pass 3 Module</t>
  </si>
  <si>
    <t>NephroCRO - NCS4</t>
  </si>
  <si>
    <t>Central Reverse Osmosis Unit Single Pass 4 Module</t>
  </si>
  <si>
    <t>NephroCRO - NDS1</t>
  </si>
  <si>
    <t>Central Reverse Osmosis Unit Double Pass 1 Module</t>
  </si>
  <si>
    <t>NephroCRO - NDS2</t>
  </si>
  <si>
    <t>Central Reverse Osmosis Unit Double Pass 2 Module</t>
  </si>
  <si>
    <t>NephroCRO - NDS3</t>
  </si>
  <si>
    <t>Central Reverse Osmosis Unit Double Pass 3 Module</t>
  </si>
  <si>
    <t>NephroCRO - NDS4</t>
  </si>
  <si>
    <t>Central Reverse Osmosis Unit Double Pass 4 Module</t>
  </si>
  <si>
    <t>NephroPRO - NPS1</t>
  </si>
  <si>
    <t>Portable Reverse Osmosis Unit for up to 2 HD Machines</t>
  </si>
  <si>
    <t>NephroChair</t>
  </si>
  <si>
    <t>Dialysis Chair</t>
  </si>
  <si>
    <t>South Africa</t>
  </si>
  <si>
    <t>Grant &amp; Evan</t>
  </si>
  <si>
    <t>Robert</t>
  </si>
  <si>
    <t>Renal Care Solutions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</si>
</sst>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_-;\-* #,##0_-;_-* &quot;-&quot;??_-;_-@_-"/>
    <numFmt numFmtId="166" formatCode="0_);[Red]\(0\)"/>
    <numFmt numFmtId="167" formatCode="_-* #,##0.00\ [$€]_-;\-* #,##0.00\ [$€]_-;_-* &quot;-&quot;??\ [$€]_-;_-@_-" x16r2:formatCode16="_-* #,##0.00\ [$€-gsw-CH]_-;\-* #,##0.00\ [$€-gsw-CH]_-;_-* &quot;-&quot;??\ [$€-gsw-CH]_-;_-@_-"/>
    <numFmt numFmtId="168" formatCode="#,##0.00\ &quot;€&quot;"/>
  </numFmts>
  <fonts count="20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1"/>
      <color theme="1"/>
      <name val="Helvetica"/>
      <family val="2"/>
    </font>
    <font>
      <b/>
      <sz val="11"/>
      <color rgb="FF000000"/>
      <name val="Helvetica"/>
      <family val="2"/>
    </font>
    <font>
      <i/>
      <sz val="11"/>
      <color theme="1"/>
      <name val="Helvetica"/>
      <family val="2"/>
    </font>
    <font>
      <sz val="11"/>
      <color theme="1"/>
      <name val="Helvetica"/>
      <family val="2"/>
    </font>
    <font>
      <b/>
      <sz val="14"/>
      <color theme="1"/>
      <name val="Helvetica"/>
      <family val="2"/>
    </font>
    <font>
      <sz val="10"/>
      <color theme="1"/>
      <name val="Helvetica"/>
      <family val="2"/>
    </font>
    <font>
      <b/>
      <sz val="10"/>
      <name val="Helvetica"/>
      <family val="2"/>
    </font>
    <font>
      <sz val="10"/>
      <name val="Helvetica"/>
      <family val="2"/>
    </font>
    <font>
      <i/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rgb="FF000000"/>
      <name val="Helvetica"/>
      <family val="2"/>
    </font>
    <font>
      <i/>
      <sz val="11"/>
      <color rgb="FF000000"/>
      <name val="Helvetica"/>
      <family val="2"/>
    </font>
    <font>
      <i/>
      <sz val="10"/>
      <color rgb="FF000000"/>
      <name val="Helvetica"/>
      <family val="2"/>
    </font>
    <font>
      <i/>
      <sz val="10"/>
      <color rgb="FFFF0000"/>
      <name val="Helvetica"/>
      <family val="2"/>
    </font>
    <font>
      <b/>
      <sz val="14"/>
      <color theme="0"/>
      <name val="Helvetica"/>
      <family val="2"/>
    </font>
    <font>
      <i/>
      <sz val="10"/>
      <color theme="1"/>
      <name val="Helvetica"/>
      <family val="2"/>
    </font>
    <font>
      <b/>
      <i/>
      <sz val="10"/>
      <name val="Helvetica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164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3" borderId="0" xfId="0" applyFont="1" applyFill="1">
      <alignment vertical="center"/>
    </xf>
    <xf numFmtId="0" fontId="5" fillId="0" borderId="17" xfId="0" applyFont="1" applyBorder="1" applyAlignment="1">
      <alignment horizontal="center" vertical="center" wrapText="1" readingOrder="1"/>
    </xf>
    <xf numFmtId="0" fontId="5" fillId="0" borderId="18" xfId="0" applyFont="1" applyBorder="1" applyAlignment="1">
      <alignment horizontal="center" vertical="center" wrapText="1" readingOrder="1"/>
    </xf>
    <xf numFmtId="0" fontId="5" fillId="0" borderId="19" xfId="0" applyFont="1" applyBorder="1" applyAlignment="1">
      <alignment horizontal="center" vertical="center" wrapText="1" readingOrder="1"/>
    </xf>
    <xf numFmtId="0" fontId="5" fillId="0" borderId="20" xfId="0" applyFont="1" applyBorder="1" applyAlignment="1">
      <alignment horizontal="center" vertical="center" wrapText="1" readingOrder="1"/>
    </xf>
    <xf numFmtId="0" fontId="5" fillId="0" borderId="21" xfId="0" applyFont="1" applyBorder="1" applyAlignment="1">
      <alignment horizontal="center" vertical="center" wrapText="1" readingOrder="1"/>
    </xf>
    <xf numFmtId="0" fontId="5" fillId="0" borderId="22" xfId="0" applyFont="1" applyBorder="1" applyAlignment="1">
      <alignment horizontal="center" vertical="center" wrapText="1" readingOrder="1"/>
    </xf>
    <xf numFmtId="0" fontId="6" fillId="0" borderId="17" xfId="0" applyFont="1" applyBorder="1" applyAlignment="1">
      <alignment horizontal="center" vertical="center" wrapText="1" readingOrder="2"/>
    </xf>
    <xf numFmtId="0" fontId="11" fillId="0" borderId="17" xfId="0" applyFont="1" applyBorder="1" applyAlignment="1">
      <alignment horizontal="center" vertical="center" wrapText="1" readingOrder="1"/>
    </xf>
    <xf numFmtId="0" fontId="12" fillId="0" borderId="17" xfId="0" applyFont="1" applyBorder="1" applyAlignment="1">
      <alignment horizontal="center" vertical="center" wrapText="1" readingOrder="1"/>
    </xf>
    <xf numFmtId="0" fontId="6" fillId="0" borderId="16" xfId="0" applyFont="1" applyBorder="1" applyAlignment="1">
      <alignment horizontal="center" vertical="center" wrapText="1" readingOrder="2"/>
    </xf>
    <xf numFmtId="0" fontId="5" fillId="0" borderId="6" xfId="0" applyFont="1" applyBorder="1" applyAlignment="1">
      <alignment horizontal="center" vertical="center" wrapText="1" readingOrder="1"/>
    </xf>
    <xf numFmtId="0" fontId="6" fillId="0" borderId="6" xfId="0" applyFont="1" applyBorder="1" applyAlignment="1">
      <alignment horizontal="center" vertical="center" wrapText="1" readingOrder="1"/>
    </xf>
    <xf numFmtId="0" fontId="11" fillId="0" borderId="21" xfId="0" applyFont="1" applyBorder="1" applyAlignment="1">
      <alignment horizontal="center" vertical="center" wrapText="1" readingOrder="1"/>
    </xf>
    <xf numFmtId="0" fontId="11" fillId="0" borderId="19" xfId="0" applyFont="1" applyBorder="1" applyAlignment="1">
      <alignment horizontal="center" vertical="center" wrapText="1" readingOrder="1"/>
    </xf>
    <xf numFmtId="0" fontId="11" fillId="0" borderId="23" xfId="0" applyFont="1" applyBorder="1" applyAlignment="1">
      <alignment horizontal="center" vertical="center" wrapText="1" readingOrder="1"/>
    </xf>
    <xf numFmtId="0" fontId="12" fillId="0" borderId="23" xfId="0" applyFont="1" applyBorder="1" applyAlignment="1">
      <alignment horizontal="center" vertical="center" wrapText="1" readingOrder="1"/>
    </xf>
    <xf numFmtId="0" fontId="13" fillId="0" borderId="17" xfId="0" applyFont="1" applyBorder="1" applyAlignment="1">
      <alignment horizontal="center" vertical="center" wrapText="1" readingOrder="1"/>
    </xf>
    <xf numFmtId="0" fontId="13" fillId="0" borderId="23" xfId="0" applyFont="1" applyBorder="1" applyAlignment="1">
      <alignment horizontal="center" vertical="center" wrapText="1" readingOrder="1"/>
    </xf>
    <xf numFmtId="0" fontId="14" fillId="0" borderId="17" xfId="0" applyFont="1" applyBorder="1" applyAlignment="1">
      <alignment horizontal="center" vertical="center" wrapText="1" readingOrder="1"/>
    </xf>
    <xf numFmtId="0" fontId="15" fillId="0" borderId="17" xfId="0" applyFont="1" applyBorder="1" applyAlignment="1">
      <alignment horizontal="center" vertical="center" readingOrder="1"/>
    </xf>
    <xf numFmtId="0" fontId="14" fillId="0" borderId="19" xfId="0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readingOrder="1"/>
    </xf>
    <xf numFmtId="0" fontId="6" fillId="0" borderId="19" xfId="0" applyFont="1" applyBorder="1" applyAlignment="1">
      <alignment horizontal="center" vertical="center" wrapText="1" readingOrder="2"/>
    </xf>
    <xf numFmtId="0" fontId="14" fillId="0" borderId="23" xfId="0" applyFont="1" applyBorder="1" applyAlignment="1">
      <alignment horizontal="center" vertical="center" wrapText="1" readingOrder="1"/>
    </xf>
    <xf numFmtId="0" fontId="15" fillId="0" borderId="23" xfId="0" applyFont="1" applyBorder="1" applyAlignment="1">
      <alignment horizontal="center" vertical="center" readingOrder="1"/>
    </xf>
    <xf numFmtId="0" fontId="6" fillId="0" borderId="23" xfId="0" applyFont="1" applyBorder="1" applyAlignment="1">
      <alignment horizontal="center" vertical="center" wrapText="1" readingOrder="2"/>
    </xf>
    <xf numFmtId="0" fontId="5" fillId="0" borderId="24" xfId="0" applyFont="1" applyBorder="1" applyAlignment="1">
      <alignment horizontal="center" vertical="center" wrapText="1" readingOrder="1"/>
    </xf>
    <xf numFmtId="0" fontId="5" fillId="0" borderId="25" xfId="0" applyFont="1" applyBorder="1" applyAlignment="1">
      <alignment horizontal="center" vertical="center" wrapText="1" readingOrder="1"/>
    </xf>
    <xf numFmtId="0" fontId="5" fillId="0" borderId="27" xfId="0" applyFont="1" applyBorder="1" applyAlignment="1">
      <alignment horizontal="center" vertical="center" wrapText="1" readingOrder="1"/>
    </xf>
    <xf numFmtId="0" fontId="5" fillId="0" borderId="28" xfId="0" applyFont="1" applyBorder="1" applyAlignment="1">
      <alignment horizontal="center" vertical="center" wrapText="1" readingOrder="1"/>
    </xf>
    <xf numFmtId="0" fontId="17" fillId="11" borderId="3" xfId="0" applyFont="1" applyFill="1" applyBorder="1">
      <alignment vertical="center"/>
    </xf>
    <xf numFmtId="0" fontId="17" fillId="11" borderId="5" xfId="0" applyFont="1" applyFill="1" applyBorder="1">
      <alignment vertical="center"/>
    </xf>
    <xf numFmtId="0" fontId="17" fillId="11" borderId="26" xfId="0" applyFont="1" applyFill="1" applyBorder="1">
      <alignment vertical="center"/>
    </xf>
    <xf numFmtId="0" fontId="17" fillId="16" borderId="3" xfId="0" applyFont="1" applyFill="1" applyBorder="1">
      <alignment vertical="center"/>
    </xf>
    <xf numFmtId="0" fontId="17" fillId="16" borderId="5" xfId="0" applyFont="1" applyFill="1" applyBorder="1">
      <alignment vertical="center"/>
    </xf>
    <xf numFmtId="0" fontId="17" fillId="16" borderId="26" xfId="0" applyFont="1" applyFill="1" applyBorder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 readingOrder="1"/>
    </xf>
    <xf numFmtId="0" fontId="4" fillId="4" borderId="0" xfId="0" applyFont="1" applyFill="1" applyAlignment="1">
      <alignment horizontal="center" vertical="center" readingOrder="1"/>
    </xf>
    <xf numFmtId="0" fontId="4" fillId="4" borderId="0" xfId="0" applyFont="1" applyFill="1" applyAlignment="1">
      <alignment horizontal="center" vertical="center" wrapText="1" readingOrder="1"/>
    </xf>
    <xf numFmtId="3" fontId="4" fillId="4" borderId="0" xfId="0" applyNumberFormat="1" applyFont="1" applyFill="1" applyAlignment="1">
      <alignment horizontal="center" vertical="center" wrapText="1" readingOrder="1"/>
    </xf>
    <xf numFmtId="0" fontId="9" fillId="4" borderId="0" xfId="0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1" fillId="0" borderId="27" xfId="0" applyFont="1" applyBorder="1" applyAlignment="1">
      <alignment horizontal="center" vertical="center" wrapText="1" readingOrder="1"/>
    </xf>
    <xf numFmtId="0" fontId="13" fillId="0" borderId="6" xfId="0" applyFont="1" applyBorder="1" applyAlignment="1">
      <alignment horizontal="center" vertical="center" wrapText="1" readingOrder="1"/>
    </xf>
    <xf numFmtId="0" fontId="12" fillId="0" borderId="6" xfId="0" applyFont="1" applyBorder="1" applyAlignment="1">
      <alignment horizontal="center" vertical="center" wrapText="1" readingOrder="1"/>
    </xf>
    <xf numFmtId="0" fontId="6" fillId="0" borderId="6" xfId="0" applyFont="1" applyBorder="1" applyAlignment="1">
      <alignment horizontal="center" vertical="center" wrapText="1" readingOrder="2"/>
    </xf>
    <xf numFmtId="0" fontId="11" fillId="0" borderId="6" xfId="0" applyFont="1" applyBorder="1" applyAlignment="1">
      <alignment horizontal="center" vertical="center" wrapText="1" readingOrder="1"/>
    </xf>
    <xf numFmtId="0" fontId="12" fillId="0" borderId="25" xfId="0" applyFont="1" applyBorder="1" applyAlignment="1">
      <alignment horizontal="center" vertical="center" wrapText="1" readingOrder="1"/>
    </xf>
    <xf numFmtId="3" fontId="6" fillId="4" borderId="0" xfId="0" applyNumberFormat="1" applyFont="1" applyFill="1" applyAlignment="1">
      <alignment horizontal="center" vertical="center"/>
    </xf>
    <xf numFmtId="168" fontId="6" fillId="4" borderId="0" xfId="0" applyNumberFormat="1" applyFont="1" applyFill="1" applyAlignment="1">
      <alignment horizontal="center" vertical="center"/>
    </xf>
    <xf numFmtId="167" fontId="6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3" fontId="8" fillId="4" borderId="0" xfId="0" applyNumberFormat="1" applyFont="1" applyFill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168" fontId="8" fillId="4" borderId="0" xfId="0" applyNumberFormat="1" applyFont="1" applyFill="1" applyAlignment="1">
      <alignment horizontal="center" vertical="center"/>
    </xf>
    <xf numFmtId="167" fontId="8" fillId="4" borderId="0" xfId="0" applyNumberFormat="1" applyFont="1" applyFill="1" applyAlignment="1">
      <alignment horizontal="center" vertical="center"/>
    </xf>
    <xf numFmtId="165" fontId="8" fillId="0" borderId="14" xfId="1" applyNumberFormat="1" applyFont="1" applyFill="1" applyBorder="1" applyAlignment="1">
      <alignment horizontal="center" vertical="center"/>
    </xf>
    <xf numFmtId="166" fontId="8" fillId="0" borderId="15" xfId="1" applyNumberFormat="1" applyFont="1" applyFill="1" applyBorder="1" applyAlignment="1">
      <alignment horizontal="center" vertical="center"/>
    </xf>
    <xf numFmtId="164" fontId="8" fillId="0" borderId="15" xfId="1" applyFont="1" applyFill="1" applyBorder="1" applyAlignment="1">
      <alignment horizontal="center" vertical="center"/>
    </xf>
    <xf numFmtId="164" fontId="8" fillId="2" borderId="15" xfId="1" applyFont="1" applyFill="1" applyBorder="1" applyAlignment="1" applyProtection="1">
      <alignment horizontal="center" vertical="center"/>
    </xf>
    <xf numFmtId="3" fontId="18" fillId="14" borderId="11" xfId="1" applyNumberFormat="1" applyFont="1" applyFill="1" applyBorder="1" applyAlignment="1" applyProtection="1">
      <alignment horizontal="center" vertical="center"/>
    </xf>
    <xf numFmtId="165" fontId="8" fillId="0" borderId="15" xfId="1" applyNumberFormat="1" applyFont="1" applyFill="1" applyBorder="1" applyAlignment="1">
      <alignment horizontal="center" vertical="center"/>
    </xf>
    <xf numFmtId="164" fontId="10" fillId="0" borderId="15" xfId="1" applyFont="1" applyFill="1" applyBorder="1" applyAlignment="1">
      <alignment horizontal="center" vertical="center"/>
    </xf>
    <xf numFmtId="165" fontId="8" fillId="0" borderId="7" xfId="1" applyNumberFormat="1" applyFont="1" applyFill="1" applyBorder="1" applyAlignment="1">
      <alignment horizontal="center" vertical="center"/>
    </xf>
    <xf numFmtId="166" fontId="8" fillId="0" borderId="0" xfId="1" applyNumberFormat="1" applyFont="1" applyFill="1" applyBorder="1" applyAlignment="1">
      <alignment horizontal="center" vertical="center"/>
    </xf>
    <xf numFmtId="164" fontId="8" fillId="0" borderId="0" xfId="1" applyFont="1" applyFill="1" applyBorder="1" applyAlignment="1">
      <alignment horizontal="center" vertical="center"/>
    </xf>
    <xf numFmtId="164" fontId="8" fillId="2" borderId="0" xfId="1" applyFont="1" applyFill="1" applyBorder="1" applyAlignment="1" applyProtection="1">
      <alignment horizontal="center" vertical="center"/>
    </xf>
    <xf numFmtId="3" fontId="18" fillId="14" borderId="8" xfId="1" applyNumberFormat="1" applyFont="1" applyFill="1" applyBorder="1" applyAlignment="1" applyProtection="1">
      <alignment horizontal="center" vertical="center"/>
    </xf>
    <xf numFmtId="165" fontId="8" fillId="0" borderId="0" xfId="1" applyNumberFormat="1" applyFont="1" applyFill="1" applyBorder="1" applyAlignment="1">
      <alignment horizontal="center" vertical="center"/>
    </xf>
    <xf numFmtId="164" fontId="10" fillId="0" borderId="0" xfId="1" applyFont="1" applyFill="1" applyBorder="1" applyAlignment="1">
      <alignment horizontal="center" vertical="center"/>
    </xf>
    <xf numFmtId="164" fontId="8" fillId="0" borderId="9" xfId="1" applyFont="1" applyFill="1" applyBorder="1" applyAlignment="1">
      <alignment horizontal="center" vertical="center"/>
    </xf>
    <xf numFmtId="166" fontId="8" fillId="0" borderId="13" xfId="1" applyNumberFormat="1" applyFont="1" applyFill="1" applyBorder="1" applyAlignment="1">
      <alignment horizontal="center" vertical="center"/>
    </xf>
    <xf numFmtId="164" fontId="8" fillId="0" borderId="13" xfId="1" applyFont="1" applyFill="1" applyBorder="1" applyAlignment="1">
      <alignment horizontal="center" vertical="center"/>
    </xf>
    <xf numFmtId="164" fontId="8" fillId="2" borderId="13" xfId="1" applyFont="1" applyFill="1" applyBorder="1" applyAlignment="1" applyProtection="1">
      <alignment horizontal="center" vertical="center"/>
    </xf>
    <xf numFmtId="3" fontId="18" fillId="14" borderId="12" xfId="1" applyNumberFormat="1" applyFont="1" applyFill="1" applyBorder="1" applyAlignment="1" applyProtection="1">
      <alignment horizontal="center" vertical="center"/>
    </xf>
    <xf numFmtId="3" fontId="9" fillId="4" borderId="4" xfId="0" applyNumberFormat="1" applyFont="1" applyFill="1" applyBorder="1" applyAlignment="1">
      <alignment horizontal="center" vertical="center"/>
    </xf>
    <xf numFmtId="3" fontId="9" fillId="2" borderId="1" xfId="0" applyNumberFormat="1" applyFont="1" applyFill="1" applyBorder="1" applyAlignment="1">
      <alignment horizontal="center" vertical="center"/>
    </xf>
    <xf numFmtId="3" fontId="19" fillId="14" borderId="2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19" fillId="14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64" fontId="8" fillId="2" borderId="15" xfId="1" applyFont="1" applyFill="1" applyBorder="1" applyAlignment="1">
      <alignment horizontal="center" vertical="center"/>
    </xf>
    <xf numFmtId="3" fontId="18" fillId="14" borderId="11" xfId="1" applyNumberFormat="1" applyFont="1" applyFill="1" applyBorder="1" applyAlignment="1">
      <alignment horizontal="center" vertical="center"/>
    </xf>
    <xf numFmtId="164" fontId="8" fillId="2" borderId="0" xfId="1" applyFont="1" applyFill="1" applyBorder="1" applyAlignment="1">
      <alignment horizontal="center" vertical="center"/>
    </xf>
    <xf numFmtId="3" fontId="18" fillId="14" borderId="8" xfId="1" applyNumberFormat="1" applyFont="1" applyFill="1" applyBorder="1" applyAlignment="1">
      <alignment horizontal="center" vertical="center"/>
    </xf>
    <xf numFmtId="164" fontId="8" fillId="2" borderId="13" xfId="1" applyFont="1" applyFill="1" applyBorder="1" applyAlignment="1">
      <alignment horizontal="center" vertical="center"/>
    </xf>
    <xf numFmtId="3" fontId="18" fillId="14" borderId="12" xfId="1" applyNumberFormat="1" applyFont="1" applyFill="1" applyBorder="1" applyAlignment="1">
      <alignment horizontal="center" vertical="center"/>
    </xf>
    <xf numFmtId="3" fontId="9" fillId="4" borderId="0" xfId="0" applyNumberFormat="1" applyFont="1" applyFill="1" applyAlignment="1">
      <alignment horizontal="center" vertical="center"/>
    </xf>
    <xf numFmtId="168" fontId="9" fillId="4" borderId="0" xfId="0" applyNumberFormat="1" applyFont="1" applyFill="1" applyAlignment="1">
      <alignment horizontal="center" vertical="center"/>
    </xf>
    <xf numFmtId="167" fontId="9" fillId="4" borderId="0" xfId="0" applyNumberFormat="1" applyFont="1" applyFill="1" applyAlignment="1">
      <alignment horizontal="center" vertical="center"/>
    </xf>
    <xf numFmtId="3" fontId="9" fillId="13" borderId="4" xfId="0" applyNumberFormat="1" applyFont="1" applyFill="1" applyBorder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left" vertical="center" wrapText="1" readingOrder="1"/>
    </xf>
    <xf numFmtId="0" fontId="3" fillId="5" borderId="2" xfId="0" applyFont="1" applyFill="1" applyBorder="1" applyAlignment="1">
      <alignment horizontal="left" vertical="center" wrapText="1" readingOrder="1"/>
    </xf>
    <xf numFmtId="0" fontId="7" fillId="3" borderId="14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17" fillId="12" borderId="3" xfId="0" applyFont="1" applyFill="1" applyBorder="1" applyAlignment="1">
      <alignment horizontal="left" vertical="center"/>
    </xf>
    <xf numFmtId="0" fontId="17" fillId="12" borderId="5" xfId="0" applyFont="1" applyFill="1" applyBorder="1" applyAlignment="1">
      <alignment horizontal="left" vertical="center"/>
    </xf>
    <xf numFmtId="0" fontId="17" fillId="12" borderId="26" xfId="0" applyFont="1" applyFill="1" applyBorder="1" applyAlignment="1">
      <alignment horizontal="left" vertical="center"/>
    </xf>
    <xf numFmtId="0" fontId="17" fillId="17" borderId="3" xfId="0" applyFont="1" applyFill="1" applyBorder="1" applyAlignment="1">
      <alignment horizontal="left" vertical="center"/>
    </xf>
    <xf numFmtId="0" fontId="17" fillId="17" borderId="5" xfId="0" applyFont="1" applyFill="1" applyBorder="1" applyAlignment="1">
      <alignment horizontal="left" vertical="center"/>
    </xf>
    <xf numFmtId="0" fontId="17" fillId="17" borderId="26" xfId="0" applyFont="1" applyFill="1" applyBorder="1" applyAlignment="1">
      <alignment horizontal="left" vertical="center"/>
    </xf>
    <xf numFmtId="0" fontId="17" fillId="15" borderId="3" xfId="0" applyFont="1" applyFill="1" applyBorder="1" applyAlignment="1">
      <alignment horizontal="left" vertical="center"/>
    </xf>
    <xf numFmtId="0" fontId="17" fillId="15" borderId="5" xfId="0" applyFont="1" applyFill="1" applyBorder="1" applyAlignment="1">
      <alignment horizontal="left" vertical="center"/>
    </xf>
    <xf numFmtId="0" fontId="17" fillId="15" borderId="26" xfId="0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 wrapText="1" readingOrder="1"/>
    </xf>
    <xf numFmtId="0" fontId="4" fillId="7" borderId="2" xfId="0" applyFont="1" applyFill="1" applyBorder="1" applyAlignment="1">
      <alignment horizontal="center" vertical="center" wrapText="1" readingOrder="1"/>
    </xf>
    <xf numFmtId="0" fontId="7" fillId="6" borderId="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26" xfId="0" applyFont="1" applyFill="1" applyBorder="1" applyAlignment="1">
      <alignment horizontal="center" vertical="center"/>
    </xf>
    <xf numFmtId="0" fontId="17" fillId="10" borderId="3" xfId="0" applyFont="1" applyFill="1" applyBorder="1" applyAlignment="1">
      <alignment horizontal="left" vertical="center"/>
    </xf>
    <xf numFmtId="0" fontId="17" fillId="10" borderId="5" xfId="0" applyFont="1" applyFill="1" applyBorder="1" applyAlignment="1">
      <alignment horizontal="left" vertical="center"/>
    </xf>
    <xf numFmtId="0" fontId="17" fillId="10" borderId="26" xfId="0" applyFont="1" applyFill="1" applyBorder="1" applyAlignment="1">
      <alignment horizontal="left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26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 wrapText="1" readingOrder="1"/>
    </xf>
    <xf numFmtId="0" fontId="4" fillId="5" borderId="2" xfId="0" applyFont="1" applyFill="1" applyBorder="1" applyAlignment="1">
      <alignment horizontal="center" vertical="center" wrapText="1" readingOrder="1"/>
    </xf>
    <xf numFmtId="3" fontId="4" fillId="7" borderId="10" xfId="0" applyNumberFormat="1" applyFont="1" applyFill="1" applyBorder="1" applyAlignment="1">
      <alignment horizontal="center" vertical="center" wrapText="1" readingOrder="1"/>
    </xf>
    <xf numFmtId="3" fontId="4" fillId="7" borderId="2" xfId="0" applyNumberFormat="1" applyFont="1" applyFill="1" applyBorder="1" applyAlignment="1">
      <alignment horizontal="center" vertical="center" wrapText="1" readingOrder="1"/>
    </xf>
    <xf numFmtId="3" fontId="4" fillId="2" borderId="10" xfId="0" applyNumberFormat="1" applyFont="1" applyFill="1" applyBorder="1" applyAlignment="1">
      <alignment horizontal="center" vertical="center" wrapText="1" readingOrder="1"/>
    </xf>
    <xf numFmtId="3" fontId="4" fillId="2" borderId="2" xfId="0" applyNumberFormat="1" applyFont="1" applyFill="1" applyBorder="1" applyAlignment="1">
      <alignment horizontal="center" vertical="center" wrapText="1" readingOrder="1"/>
    </xf>
    <xf numFmtId="0" fontId="3" fillId="5" borderId="10" xfId="0" applyFont="1" applyFill="1" applyBorder="1" applyAlignment="1">
      <alignment horizontal="center" vertical="center" wrapText="1" readingOrder="1"/>
    </xf>
    <xf numFmtId="0" fontId="3" fillId="5" borderId="2" xfId="0" applyFont="1" applyFill="1" applyBorder="1" applyAlignment="1">
      <alignment horizontal="center" vertical="center" wrapText="1" readingOrder="1"/>
    </xf>
    <xf numFmtId="0" fontId="4" fillId="5" borderId="10" xfId="0" applyFont="1" applyFill="1" applyBorder="1" applyAlignment="1">
      <alignment horizontal="center" vertical="center" readingOrder="1"/>
    </xf>
    <xf numFmtId="0" fontId="4" fillId="5" borderId="2" xfId="0" applyFont="1" applyFill="1" applyBorder="1" applyAlignment="1">
      <alignment horizontal="center" vertical="center" readingOrder="1"/>
    </xf>
  </cellXfs>
  <cellStyles count="2">
    <cellStyle name="Comma [0]" xfId="1" builtinId="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  <pageSetUpPr fitToPage="1"/>
  </sheetPr>
  <dimension ref="A1:BJ175"/>
  <sheetViews>
    <sheetView tabSelected="1" zoomScaleNormal="100" zoomScaleSheetLayoutView="100" workbookViewId="0">
      <pane ySplit="8" topLeftCell="A9" activePane="bottomLeft" state="frozen"/>
      <selection pane="bottomLeft" activeCell="L82" sqref="L82"/>
    </sheetView>
  </sheetViews>
  <sheetFormatPr baseColWidth="10" defaultColWidth="8.83203125" defaultRowHeight="15" outlineLevelRow="1" outlineLevelCol="1"/>
  <cols>
    <col min="1" max="1" width="23.83203125" style="1" customWidth="1"/>
    <col min="2" max="2" width="59" style="1" bestFit="1" customWidth="1"/>
    <col min="3" max="3" width="20.33203125" style="1" hidden="1" customWidth="1"/>
    <col min="4" max="4" width="17.1640625" style="1" hidden="1" customWidth="1"/>
    <col min="5" max="5" width="25.6640625" style="2" hidden="1" customWidth="1"/>
    <col min="6" max="9" width="8.83203125" style="2" customWidth="1" outlineLevel="1"/>
    <col min="10" max="10" width="8.83203125" style="99" customWidth="1"/>
    <col min="11" max="26" width="8.83203125" style="2" customWidth="1" outlineLevel="1"/>
    <col min="27" max="27" width="8.83203125" style="99" customWidth="1"/>
    <col min="28" max="28" width="8.83203125" style="100" customWidth="1" outlineLevel="1"/>
    <col min="29" max="29" width="8.83203125" style="101" customWidth="1" outlineLevel="1"/>
    <col min="30" max="43" width="8.83203125" style="2" customWidth="1" outlineLevel="1"/>
    <col min="44" max="44" width="8.83203125" style="2"/>
    <col min="45" max="62" width="8.83203125" style="40"/>
    <col min="63" max="16384" width="8.83203125" style="1"/>
  </cols>
  <sheetData>
    <row r="1" spans="1:44" ht="18" customHeight="1">
      <c r="A1" s="105" t="s">
        <v>0</v>
      </c>
      <c r="B1" s="111" t="s">
        <v>180</v>
      </c>
      <c r="C1" s="105" t="s">
        <v>1</v>
      </c>
      <c r="D1" s="107" t="s">
        <v>178</v>
      </c>
      <c r="E1" s="108"/>
      <c r="F1" s="49"/>
      <c r="G1" s="49"/>
      <c r="H1" s="49"/>
      <c r="I1" s="49"/>
      <c r="J1" s="56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56"/>
      <c r="AB1" s="57"/>
      <c r="AC1" s="58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</row>
    <row r="2" spans="1:44" ht="16" thickBot="1">
      <c r="A2" s="106"/>
      <c r="B2" s="112"/>
      <c r="C2" s="106"/>
      <c r="D2" s="109"/>
      <c r="E2" s="110"/>
      <c r="F2" s="49"/>
      <c r="G2" s="49"/>
      <c r="H2" s="49"/>
      <c r="I2" s="49"/>
      <c r="J2" s="56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56"/>
      <c r="AB2" s="57"/>
      <c r="AC2" s="58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</row>
    <row r="3" spans="1:44" ht="18">
      <c r="A3" s="105" t="s">
        <v>2</v>
      </c>
      <c r="B3" s="111" t="s">
        <v>177</v>
      </c>
      <c r="C3" s="105" t="s">
        <v>3</v>
      </c>
      <c r="D3" s="107" t="s">
        <v>179</v>
      </c>
      <c r="E3" s="108"/>
      <c r="F3" s="42"/>
      <c r="G3" s="59"/>
      <c r="H3" s="59"/>
      <c r="I3" s="59"/>
      <c r="J3" s="60"/>
      <c r="K3" s="42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61"/>
      <c r="AA3" s="60"/>
      <c r="AB3" s="62"/>
      <c r="AC3" s="63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</row>
    <row r="4" spans="1:44" ht="19" thickBot="1">
      <c r="A4" s="106"/>
      <c r="B4" s="112"/>
      <c r="C4" s="106"/>
      <c r="D4" s="109"/>
      <c r="E4" s="110"/>
      <c r="F4" s="42"/>
      <c r="G4" s="59"/>
      <c r="H4" s="59"/>
      <c r="I4" s="59"/>
      <c r="J4" s="60"/>
      <c r="K4" s="42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61"/>
      <c r="AA4" s="60"/>
      <c r="AB4" s="62"/>
      <c r="AC4" s="63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</row>
    <row r="5" spans="1:44" ht="19" thickBot="1">
      <c r="A5" s="40"/>
      <c r="B5" s="41"/>
      <c r="C5" s="41"/>
      <c r="D5" s="41"/>
      <c r="E5" s="42"/>
      <c r="F5" s="133">
        <v>2024</v>
      </c>
      <c r="G5" s="134"/>
      <c r="H5" s="134"/>
      <c r="I5" s="134"/>
      <c r="J5" s="135"/>
      <c r="K5" s="127">
        <v>2025</v>
      </c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9"/>
      <c r="AB5" s="122">
        <v>2026</v>
      </c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4"/>
    </row>
    <row r="6" spans="1:44" ht="16" customHeight="1">
      <c r="A6" s="142" t="s">
        <v>4</v>
      </c>
      <c r="B6" s="144" t="s">
        <v>5</v>
      </c>
      <c r="C6" s="136" t="s">
        <v>6</v>
      </c>
      <c r="D6" s="136" t="s">
        <v>7</v>
      </c>
      <c r="E6" s="136" t="s">
        <v>8</v>
      </c>
      <c r="F6" s="136" t="s">
        <v>9</v>
      </c>
      <c r="G6" s="136" t="s">
        <v>10</v>
      </c>
      <c r="H6" s="136" t="s">
        <v>11</v>
      </c>
      <c r="I6" s="125" t="s">
        <v>12</v>
      </c>
      <c r="J6" s="138" t="s">
        <v>13</v>
      </c>
      <c r="K6" s="136" t="s">
        <v>14</v>
      </c>
      <c r="L6" s="136" t="s">
        <v>15</v>
      </c>
      <c r="M6" s="136" t="s">
        <v>16</v>
      </c>
      <c r="N6" s="125" t="s">
        <v>17</v>
      </c>
      <c r="O6" s="136" t="s">
        <v>18</v>
      </c>
      <c r="P6" s="136" t="s">
        <v>19</v>
      </c>
      <c r="Q6" s="136" t="s">
        <v>20</v>
      </c>
      <c r="R6" s="125" t="s">
        <v>21</v>
      </c>
      <c r="S6" s="136" t="s">
        <v>22</v>
      </c>
      <c r="T6" s="136" t="s">
        <v>23</v>
      </c>
      <c r="U6" s="136" t="s">
        <v>24</v>
      </c>
      <c r="V6" s="125" t="s">
        <v>25</v>
      </c>
      <c r="W6" s="136" t="s">
        <v>9</v>
      </c>
      <c r="X6" s="136" t="s">
        <v>10</v>
      </c>
      <c r="Y6" s="136" t="s">
        <v>11</v>
      </c>
      <c r="Z6" s="125" t="s">
        <v>26</v>
      </c>
      <c r="AA6" s="140" t="s">
        <v>27</v>
      </c>
      <c r="AB6" s="136" t="s">
        <v>14</v>
      </c>
      <c r="AC6" s="136" t="s">
        <v>15</v>
      </c>
      <c r="AD6" s="136" t="s">
        <v>16</v>
      </c>
      <c r="AE6" s="125" t="s">
        <v>28</v>
      </c>
      <c r="AF6" s="136" t="s">
        <v>18</v>
      </c>
      <c r="AG6" s="136" t="s">
        <v>19</v>
      </c>
      <c r="AH6" s="136" t="s">
        <v>20</v>
      </c>
      <c r="AI6" s="125" t="s">
        <v>29</v>
      </c>
      <c r="AJ6" s="136" t="s">
        <v>22</v>
      </c>
      <c r="AK6" s="136" t="s">
        <v>23</v>
      </c>
      <c r="AL6" s="136" t="s">
        <v>24</v>
      </c>
      <c r="AM6" s="125" t="s">
        <v>30</v>
      </c>
      <c r="AN6" s="136" t="s">
        <v>9</v>
      </c>
      <c r="AO6" s="136" t="s">
        <v>10</v>
      </c>
      <c r="AP6" s="136" t="s">
        <v>11</v>
      </c>
      <c r="AQ6" s="125" t="s">
        <v>31</v>
      </c>
      <c r="AR6" s="140" t="s">
        <v>32</v>
      </c>
    </row>
    <row r="7" spans="1:44" ht="16" thickBot="1">
      <c r="A7" s="143"/>
      <c r="B7" s="145"/>
      <c r="C7" s="137" t="s">
        <v>33</v>
      </c>
      <c r="D7" s="137"/>
      <c r="E7" s="137"/>
      <c r="F7" s="137"/>
      <c r="G7" s="137"/>
      <c r="H7" s="137"/>
      <c r="I7" s="126"/>
      <c r="J7" s="139"/>
      <c r="K7" s="137"/>
      <c r="L7" s="137"/>
      <c r="M7" s="137"/>
      <c r="N7" s="126"/>
      <c r="O7" s="137"/>
      <c r="P7" s="137"/>
      <c r="Q7" s="137"/>
      <c r="R7" s="126"/>
      <c r="S7" s="137"/>
      <c r="T7" s="137"/>
      <c r="U7" s="137"/>
      <c r="V7" s="126"/>
      <c r="W7" s="137"/>
      <c r="X7" s="137"/>
      <c r="Y7" s="137"/>
      <c r="Z7" s="126"/>
      <c r="AA7" s="141"/>
      <c r="AB7" s="137"/>
      <c r="AC7" s="137"/>
      <c r="AD7" s="137"/>
      <c r="AE7" s="126"/>
      <c r="AF7" s="137"/>
      <c r="AG7" s="137"/>
      <c r="AH7" s="137"/>
      <c r="AI7" s="126"/>
      <c r="AJ7" s="137"/>
      <c r="AK7" s="137"/>
      <c r="AL7" s="137"/>
      <c r="AM7" s="126"/>
      <c r="AN7" s="137"/>
      <c r="AO7" s="137"/>
      <c r="AP7" s="137"/>
      <c r="AQ7" s="126"/>
      <c r="AR7" s="141"/>
    </row>
    <row r="8" spans="1:44" ht="16" thickBot="1">
      <c r="A8" s="43"/>
      <c r="B8" s="44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6"/>
      <c r="AB8" s="49"/>
      <c r="AC8" s="45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</row>
    <row r="9" spans="1:44" ht="19" thickBot="1">
      <c r="A9" s="34" t="s">
        <v>34</v>
      </c>
      <c r="B9" s="35"/>
      <c r="C9" s="35"/>
      <c r="D9" s="35"/>
      <c r="E9" s="36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</row>
    <row r="10" spans="1:44" ht="19" thickBot="1">
      <c r="A10" s="34" t="s">
        <v>35</v>
      </c>
      <c r="B10" s="35"/>
      <c r="C10" s="35"/>
      <c r="D10" s="35"/>
      <c r="E10" s="36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</row>
    <row r="11" spans="1:44" ht="16" hidden="1" outlineLevel="1">
      <c r="A11" s="5" t="s">
        <v>36</v>
      </c>
      <c r="B11" s="6" t="s">
        <v>37</v>
      </c>
      <c r="C11" s="6">
        <v>4210217</v>
      </c>
      <c r="D11" s="6" t="s">
        <v>38</v>
      </c>
      <c r="E11" s="7" t="s">
        <v>39</v>
      </c>
      <c r="F11" s="64"/>
      <c r="G11" s="65"/>
      <c r="H11" s="66"/>
      <c r="I11" s="67">
        <f>SUM(F11:H11)</f>
        <v>0</v>
      </c>
      <c r="J11" s="68">
        <f>SUM(I11)</f>
        <v>0</v>
      </c>
      <c r="K11" s="69"/>
      <c r="L11" s="65"/>
      <c r="M11" s="66"/>
      <c r="N11" s="67">
        <f>SUM(K11:M11)</f>
        <v>0</v>
      </c>
      <c r="O11" s="66"/>
      <c r="P11" s="66"/>
      <c r="Q11" s="66"/>
      <c r="R11" s="67">
        <f>SUM(O11:Q11)</f>
        <v>0</v>
      </c>
      <c r="S11" s="70"/>
      <c r="T11" s="66"/>
      <c r="U11" s="66"/>
      <c r="V11" s="67">
        <f>SUM(S11:U11)</f>
        <v>0</v>
      </c>
      <c r="W11" s="66"/>
      <c r="X11" s="66"/>
      <c r="Y11" s="66"/>
      <c r="Z11" s="67">
        <f>SUM(W11:Y11)</f>
        <v>0</v>
      </c>
      <c r="AA11" s="68">
        <f>SUM(Z11,V11,R11,N11)</f>
        <v>0</v>
      </c>
      <c r="AB11" s="64"/>
      <c r="AC11" s="65"/>
      <c r="AD11" s="66"/>
      <c r="AE11" s="67">
        <f>SUM(AB11:AD11)</f>
        <v>0</v>
      </c>
      <c r="AF11" s="66"/>
      <c r="AG11" s="66"/>
      <c r="AH11" s="66"/>
      <c r="AI11" s="67">
        <f>SUM(AF11:AH11)</f>
        <v>0</v>
      </c>
      <c r="AJ11" s="70"/>
      <c r="AK11" s="66"/>
      <c r="AL11" s="66"/>
      <c r="AM11" s="67">
        <f>SUM(AJ11:AL11)</f>
        <v>0</v>
      </c>
      <c r="AN11" s="66"/>
      <c r="AO11" s="66"/>
      <c r="AP11" s="66"/>
      <c r="AQ11" s="67">
        <f>SUM(AN11:AP11)</f>
        <v>0</v>
      </c>
      <c r="AR11" s="68">
        <f>SUM(AQ11,AM11,AI11,AE11)</f>
        <v>0</v>
      </c>
    </row>
    <row r="12" spans="1:44" ht="16" hidden="1" outlineLevel="1">
      <c r="A12" s="8" t="s">
        <v>40</v>
      </c>
      <c r="B12" s="4" t="s">
        <v>41</v>
      </c>
      <c r="C12" s="4">
        <v>4210222</v>
      </c>
      <c r="D12" s="4" t="s">
        <v>42</v>
      </c>
      <c r="E12" s="9" t="s">
        <v>39</v>
      </c>
      <c r="F12" s="71"/>
      <c r="G12" s="72"/>
      <c r="H12" s="73"/>
      <c r="I12" s="74">
        <f t="shared" ref="I12:I17" si="0">SUM(F12:H12)</f>
        <v>0</v>
      </c>
      <c r="J12" s="75">
        <f t="shared" ref="J12:J17" si="1">SUM(I12)</f>
        <v>0</v>
      </c>
      <c r="K12" s="76"/>
      <c r="L12" s="72"/>
      <c r="M12" s="73"/>
      <c r="N12" s="74">
        <f t="shared" ref="N12:N17" si="2">SUM(K12:M12)</f>
        <v>0</v>
      </c>
      <c r="O12" s="73"/>
      <c r="P12" s="73"/>
      <c r="Q12" s="73"/>
      <c r="R12" s="74">
        <f>SUM(O12:Q12)</f>
        <v>0</v>
      </c>
      <c r="S12" s="77"/>
      <c r="T12" s="73"/>
      <c r="U12" s="73"/>
      <c r="V12" s="74">
        <f t="shared" ref="V12:V17" si="3">SUM(S12:U12)</f>
        <v>0</v>
      </c>
      <c r="W12" s="73"/>
      <c r="X12" s="73"/>
      <c r="Y12" s="73"/>
      <c r="Z12" s="74">
        <f>SUM(W12:Y12)</f>
        <v>0</v>
      </c>
      <c r="AA12" s="75">
        <f t="shared" ref="AA12:AA17" si="4">SUM(Z12,V12,R12,N12)</f>
        <v>0</v>
      </c>
      <c r="AB12" s="71"/>
      <c r="AC12" s="72"/>
      <c r="AD12" s="73"/>
      <c r="AE12" s="74">
        <f t="shared" ref="AE12:AE17" si="5">SUM(AB12:AD12)</f>
        <v>0</v>
      </c>
      <c r="AF12" s="73"/>
      <c r="AG12" s="73"/>
      <c r="AH12" s="73"/>
      <c r="AI12" s="74">
        <f>SUM(AF12:AH12)</f>
        <v>0</v>
      </c>
      <c r="AJ12" s="77"/>
      <c r="AK12" s="73"/>
      <c r="AL12" s="73"/>
      <c r="AM12" s="74">
        <f t="shared" ref="AM12:AM17" si="6">SUM(AJ12:AL12)</f>
        <v>0</v>
      </c>
      <c r="AN12" s="73"/>
      <c r="AO12" s="73"/>
      <c r="AP12" s="73"/>
      <c r="AQ12" s="74">
        <f>SUM(AN12:AP12)</f>
        <v>0</v>
      </c>
      <c r="AR12" s="75">
        <f t="shared" ref="AR12:AR17" si="7">SUM(AQ12,AM12,AI12,AE12)</f>
        <v>0</v>
      </c>
    </row>
    <row r="13" spans="1:44" ht="16" hidden="1" outlineLevel="1">
      <c r="A13" s="8" t="s">
        <v>43</v>
      </c>
      <c r="B13" s="4" t="s">
        <v>44</v>
      </c>
      <c r="C13" s="4">
        <v>4210247</v>
      </c>
      <c r="D13" s="4" t="s">
        <v>42</v>
      </c>
      <c r="E13" s="9" t="s">
        <v>39</v>
      </c>
      <c r="F13" s="71"/>
      <c r="G13" s="72"/>
      <c r="H13" s="73"/>
      <c r="I13" s="74">
        <f t="shared" si="0"/>
        <v>0</v>
      </c>
      <c r="J13" s="75">
        <f t="shared" si="1"/>
        <v>0</v>
      </c>
      <c r="K13" s="76"/>
      <c r="L13" s="72"/>
      <c r="M13" s="73"/>
      <c r="N13" s="74">
        <f t="shared" si="2"/>
        <v>0</v>
      </c>
      <c r="O13" s="73"/>
      <c r="P13" s="73"/>
      <c r="Q13" s="73"/>
      <c r="R13" s="74">
        <f t="shared" ref="R13:R17" si="8">SUM(O13:Q13)</f>
        <v>0</v>
      </c>
      <c r="S13" s="77"/>
      <c r="T13" s="73"/>
      <c r="U13" s="73"/>
      <c r="V13" s="74">
        <f t="shared" si="3"/>
        <v>0</v>
      </c>
      <c r="W13" s="73"/>
      <c r="X13" s="73"/>
      <c r="Y13" s="73"/>
      <c r="Z13" s="74">
        <f t="shared" ref="Z13:Z17" si="9">SUM(W13:Y13)</f>
        <v>0</v>
      </c>
      <c r="AA13" s="75">
        <f t="shared" si="4"/>
        <v>0</v>
      </c>
      <c r="AB13" s="71"/>
      <c r="AC13" s="72"/>
      <c r="AD13" s="73"/>
      <c r="AE13" s="74">
        <f t="shared" si="5"/>
        <v>0</v>
      </c>
      <c r="AF13" s="73"/>
      <c r="AG13" s="73"/>
      <c r="AH13" s="73"/>
      <c r="AI13" s="74">
        <f t="shared" ref="AI13:AI17" si="10">SUM(AF13:AH13)</f>
        <v>0</v>
      </c>
      <c r="AJ13" s="77"/>
      <c r="AK13" s="73"/>
      <c r="AL13" s="73"/>
      <c r="AM13" s="74">
        <f t="shared" si="6"/>
        <v>0</v>
      </c>
      <c r="AN13" s="73"/>
      <c r="AO13" s="73"/>
      <c r="AP13" s="73"/>
      <c r="AQ13" s="74">
        <f t="shared" ref="AQ13:AQ17" si="11">SUM(AN13:AP13)</f>
        <v>0</v>
      </c>
      <c r="AR13" s="75">
        <f t="shared" si="7"/>
        <v>0</v>
      </c>
    </row>
    <row r="14" spans="1:44" ht="16" hidden="1" outlineLevel="1">
      <c r="A14" s="8" t="s">
        <v>45</v>
      </c>
      <c r="B14" s="4" t="s">
        <v>46</v>
      </c>
      <c r="C14" s="4">
        <v>4210227</v>
      </c>
      <c r="D14" s="4" t="s">
        <v>47</v>
      </c>
      <c r="E14" s="9" t="s">
        <v>39</v>
      </c>
      <c r="F14" s="71"/>
      <c r="G14" s="76"/>
      <c r="H14" s="73"/>
      <c r="I14" s="74">
        <f t="shared" si="0"/>
        <v>0</v>
      </c>
      <c r="J14" s="75">
        <f t="shared" si="1"/>
        <v>0</v>
      </c>
      <c r="K14" s="76"/>
      <c r="L14" s="76"/>
      <c r="M14" s="73"/>
      <c r="N14" s="74">
        <f t="shared" si="2"/>
        <v>0</v>
      </c>
      <c r="O14" s="76"/>
      <c r="P14" s="76"/>
      <c r="Q14" s="73"/>
      <c r="R14" s="74">
        <f t="shared" si="8"/>
        <v>0</v>
      </c>
      <c r="S14" s="76"/>
      <c r="T14" s="76"/>
      <c r="U14" s="73"/>
      <c r="V14" s="74">
        <f t="shared" si="3"/>
        <v>0</v>
      </c>
      <c r="W14" s="76"/>
      <c r="X14" s="76"/>
      <c r="Y14" s="73"/>
      <c r="Z14" s="74">
        <f t="shared" si="9"/>
        <v>0</v>
      </c>
      <c r="AA14" s="75">
        <f t="shared" si="4"/>
        <v>0</v>
      </c>
      <c r="AB14" s="71"/>
      <c r="AC14" s="76"/>
      <c r="AD14" s="73"/>
      <c r="AE14" s="74">
        <f>SUM(AB14:AD14)</f>
        <v>0</v>
      </c>
      <c r="AF14" s="76"/>
      <c r="AG14" s="76"/>
      <c r="AH14" s="73"/>
      <c r="AI14" s="74">
        <f t="shared" si="10"/>
        <v>0</v>
      </c>
      <c r="AJ14" s="76"/>
      <c r="AK14" s="76"/>
      <c r="AL14" s="73"/>
      <c r="AM14" s="74">
        <f>SUM(AJ14:AL14)</f>
        <v>0</v>
      </c>
      <c r="AN14" s="76"/>
      <c r="AO14" s="76"/>
      <c r="AP14" s="73"/>
      <c r="AQ14" s="74">
        <f t="shared" si="11"/>
        <v>0</v>
      </c>
      <c r="AR14" s="75">
        <f t="shared" si="7"/>
        <v>0</v>
      </c>
    </row>
    <row r="15" spans="1:44" ht="16" hidden="1" outlineLevel="1">
      <c r="A15" s="8" t="s">
        <v>48</v>
      </c>
      <c r="B15" s="4" t="s">
        <v>49</v>
      </c>
      <c r="C15" s="4">
        <v>4210232</v>
      </c>
      <c r="D15" s="4" t="s">
        <v>50</v>
      </c>
      <c r="E15" s="9" t="s">
        <v>39</v>
      </c>
      <c r="F15" s="71"/>
      <c r="G15" s="76"/>
      <c r="H15" s="73"/>
      <c r="I15" s="74">
        <f t="shared" si="0"/>
        <v>0</v>
      </c>
      <c r="J15" s="75">
        <f t="shared" si="1"/>
        <v>0</v>
      </c>
      <c r="K15" s="76"/>
      <c r="L15" s="76"/>
      <c r="M15" s="73"/>
      <c r="N15" s="74">
        <f t="shared" si="2"/>
        <v>0</v>
      </c>
      <c r="O15" s="76"/>
      <c r="P15" s="76"/>
      <c r="Q15" s="73"/>
      <c r="R15" s="74">
        <f t="shared" si="8"/>
        <v>0</v>
      </c>
      <c r="S15" s="76"/>
      <c r="T15" s="76"/>
      <c r="U15" s="73"/>
      <c r="V15" s="74">
        <f t="shared" si="3"/>
        <v>0</v>
      </c>
      <c r="W15" s="76"/>
      <c r="X15" s="76"/>
      <c r="Y15" s="73"/>
      <c r="Z15" s="74">
        <f t="shared" si="9"/>
        <v>0</v>
      </c>
      <c r="AA15" s="75">
        <f t="shared" si="4"/>
        <v>0</v>
      </c>
      <c r="AB15" s="71"/>
      <c r="AC15" s="76"/>
      <c r="AD15" s="73"/>
      <c r="AE15" s="74">
        <f t="shared" si="5"/>
        <v>0</v>
      </c>
      <c r="AF15" s="76"/>
      <c r="AG15" s="76"/>
      <c r="AH15" s="73"/>
      <c r="AI15" s="74">
        <f>SUM(AF15:AH15)</f>
        <v>0</v>
      </c>
      <c r="AJ15" s="76"/>
      <c r="AK15" s="76"/>
      <c r="AL15" s="73"/>
      <c r="AM15" s="74">
        <f t="shared" si="6"/>
        <v>0</v>
      </c>
      <c r="AN15" s="76"/>
      <c r="AO15" s="76"/>
      <c r="AP15" s="73"/>
      <c r="AQ15" s="74">
        <f t="shared" si="11"/>
        <v>0</v>
      </c>
      <c r="AR15" s="75">
        <f t="shared" si="7"/>
        <v>0</v>
      </c>
    </row>
    <row r="16" spans="1:44" ht="16" hidden="1" outlineLevel="1">
      <c r="A16" s="8" t="s">
        <v>51</v>
      </c>
      <c r="B16" s="4" t="s">
        <v>52</v>
      </c>
      <c r="C16" s="4">
        <v>4210237</v>
      </c>
      <c r="D16" s="4" t="s">
        <v>53</v>
      </c>
      <c r="E16" s="9" t="s">
        <v>39</v>
      </c>
      <c r="F16" s="71"/>
      <c r="G16" s="76"/>
      <c r="H16" s="73"/>
      <c r="I16" s="74">
        <f t="shared" si="0"/>
        <v>0</v>
      </c>
      <c r="J16" s="75">
        <f t="shared" si="1"/>
        <v>0</v>
      </c>
      <c r="K16" s="76"/>
      <c r="L16" s="76"/>
      <c r="M16" s="73"/>
      <c r="N16" s="74">
        <f t="shared" si="2"/>
        <v>0</v>
      </c>
      <c r="O16" s="76"/>
      <c r="P16" s="76"/>
      <c r="Q16" s="73"/>
      <c r="R16" s="74">
        <f t="shared" si="8"/>
        <v>0</v>
      </c>
      <c r="S16" s="76"/>
      <c r="T16" s="76"/>
      <c r="U16" s="73"/>
      <c r="V16" s="74">
        <f t="shared" si="3"/>
        <v>0</v>
      </c>
      <c r="W16" s="76"/>
      <c r="X16" s="76"/>
      <c r="Y16" s="73"/>
      <c r="Z16" s="74">
        <f t="shared" si="9"/>
        <v>0</v>
      </c>
      <c r="AA16" s="75">
        <f t="shared" si="4"/>
        <v>0</v>
      </c>
      <c r="AB16" s="71"/>
      <c r="AC16" s="76"/>
      <c r="AD16" s="73"/>
      <c r="AE16" s="74">
        <f t="shared" si="5"/>
        <v>0</v>
      </c>
      <c r="AF16" s="76"/>
      <c r="AG16" s="76"/>
      <c r="AH16" s="73"/>
      <c r="AI16" s="74">
        <f t="shared" si="10"/>
        <v>0</v>
      </c>
      <c r="AJ16" s="76"/>
      <c r="AK16" s="76"/>
      <c r="AL16" s="73"/>
      <c r="AM16" s="74">
        <f t="shared" si="6"/>
        <v>0</v>
      </c>
      <c r="AN16" s="76"/>
      <c r="AO16" s="76"/>
      <c r="AP16" s="73"/>
      <c r="AQ16" s="74">
        <f>SUM(AN16:AP16)</f>
        <v>0</v>
      </c>
      <c r="AR16" s="75">
        <f>SUM(AQ16,AM16,AI16,AE16)</f>
        <v>0</v>
      </c>
    </row>
    <row r="17" spans="1:62" ht="17" hidden="1" outlineLevel="1" thickBot="1">
      <c r="A17" s="8" t="s">
        <v>54</v>
      </c>
      <c r="B17" s="4" t="s">
        <v>55</v>
      </c>
      <c r="C17" s="4">
        <v>4210242</v>
      </c>
      <c r="D17" s="4" t="s">
        <v>53</v>
      </c>
      <c r="E17" s="9" t="s">
        <v>39</v>
      </c>
      <c r="F17" s="78"/>
      <c r="G17" s="79"/>
      <c r="H17" s="80"/>
      <c r="I17" s="81">
        <f t="shared" si="0"/>
        <v>0</v>
      </c>
      <c r="J17" s="82">
        <f t="shared" si="1"/>
        <v>0</v>
      </c>
      <c r="K17" s="80"/>
      <c r="L17" s="79"/>
      <c r="M17" s="80"/>
      <c r="N17" s="81">
        <f t="shared" si="2"/>
        <v>0</v>
      </c>
      <c r="O17" s="79"/>
      <c r="P17" s="79"/>
      <c r="Q17" s="80"/>
      <c r="R17" s="81">
        <f t="shared" si="8"/>
        <v>0</v>
      </c>
      <c r="S17" s="80"/>
      <c r="T17" s="80"/>
      <c r="U17" s="80"/>
      <c r="V17" s="81">
        <f t="shared" si="3"/>
        <v>0</v>
      </c>
      <c r="W17" s="80"/>
      <c r="X17" s="80"/>
      <c r="Y17" s="80"/>
      <c r="Z17" s="81">
        <f t="shared" si="9"/>
        <v>0</v>
      </c>
      <c r="AA17" s="82">
        <f t="shared" si="4"/>
        <v>0</v>
      </c>
      <c r="AB17" s="78"/>
      <c r="AC17" s="79"/>
      <c r="AD17" s="80"/>
      <c r="AE17" s="81">
        <f t="shared" si="5"/>
        <v>0</v>
      </c>
      <c r="AF17" s="79"/>
      <c r="AG17" s="79"/>
      <c r="AH17" s="80"/>
      <c r="AI17" s="81">
        <f t="shared" si="10"/>
        <v>0</v>
      </c>
      <c r="AJ17" s="80"/>
      <c r="AK17" s="80"/>
      <c r="AL17" s="80"/>
      <c r="AM17" s="81">
        <f t="shared" si="6"/>
        <v>0</v>
      </c>
      <c r="AN17" s="80"/>
      <c r="AO17" s="80"/>
      <c r="AP17" s="80"/>
      <c r="AQ17" s="81">
        <f t="shared" si="11"/>
        <v>0</v>
      </c>
      <c r="AR17" s="82">
        <f t="shared" si="7"/>
        <v>0</v>
      </c>
    </row>
    <row r="18" spans="1:62" ht="16" collapsed="1" thickBot="1">
      <c r="A18" s="102" t="s">
        <v>56</v>
      </c>
      <c r="B18" s="103"/>
      <c r="C18" s="103"/>
      <c r="D18" s="103"/>
      <c r="E18" s="104"/>
      <c r="F18" s="83">
        <f>SUM(F11:F17)</f>
        <v>0</v>
      </c>
      <c r="G18" s="83">
        <f t="shared" ref="G18:H18" si="12">SUM(G11:G17)</f>
        <v>0</v>
      </c>
      <c r="H18" s="83">
        <f t="shared" si="12"/>
        <v>0</v>
      </c>
      <c r="I18" s="84">
        <f>SUM(I11:I17)</f>
        <v>0</v>
      </c>
      <c r="J18" s="85">
        <f>SUM(J11:J17)</f>
        <v>0</v>
      </c>
      <c r="K18" s="83">
        <f>SUM(K11:K17)</f>
        <v>0</v>
      </c>
      <c r="L18" s="83">
        <f t="shared" ref="L18" si="13">SUM(L11:L17)</f>
        <v>0</v>
      </c>
      <c r="M18" s="83">
        <f t="shared" ref="M18" si="14">SUM(M11:M17)</f>
        <v>0</v>
      </c>
      <c r="N18" s="86">
        <f>SUM(N11:N17)</f>
        <v>0</v>
      </c>
      <c r="O18" s="83">
        <f>SUM(O11:O17)</f>
        <v>0</v>
      </c>
      <c r="P18" s="83">
        <f t="shared" ref="P18" si="15">SUM(P11:P17)</f>
        <v>0</v>
      </c>
      <c r="Q18" s="83">
        <f t="shared" ref="Q18" si="16">SUM(Q11:Q17)</f>
        <v>0</v>
      </c>
      <c r="R18" s="86">
        <f>SUM(R11:R17)</f>
        <v>0</v>
      </c>
      <c r="S18" s="83">
        <f>SUM(S11:S17)</f>
        <v>0</v>
      </c>
      <c r="T18" s="83">
        <f t="shared" ref="T18" si="17">SUM(T11:T17)</f>
        <v>0</v>
      </c>
      <c r="U18" s="83">
        <f t="shared" ref="U18" si="18">SUM(U11:U17)</f>
        <v>0</v>
      </c>
      <c r="V18" s="86">
        <f>SUM(V11:V17)</f>
        <v>0</v>
      </c>
      <c r="W18" s="83">
        <f>SUM(W11:W17)</f>
        <v>0</v>
      </c>
      <c r="X18" s="83">
        <f t="shared" ref="X18" si="19">SUM(X11:X17)</f>
        <v>0</v>
      </c>
      <c r="Y18" s="83">
        <f t="shared" ref="Y18" si="20">SUM(Y11:Y17)</f>
        <v>0</v>
      </c>
      <c r="Z18" s="86">
        <f>SUM(Z11:Z17)</f>
        <v>0</v>
      </c>
      <c r="AA18" s="87">
        <f>SUM(AA11:AA17)</f>
        <v>0</v>
      </c>
      <c r="AB18" s="83">
        <f>SUM(AB11:AB17)</f>
        <v>0</v>
      </c>
      <c r="AC18" s="83">
        <f t="shared" ref="AC18" si="21">SUM(AC11:AC17)</f>
        <v>0</v>
      </c>
      <c r="AD18" s="83">
        <f t="shared" ref="AD18" si="22">SUM(AD11:AD17)</f>
        <v>0</v>
      </c>
      <c r="AE18" s="86">
        <f>SUM(AE11:AE17)</f>
        <v>0</v>
      </c>
      <c r="AF18" s="83">
        <f>SUM(AF11:AF17)</f>
        <v>0</v>
      </c>
      <c r="AG18" s="83">
        <f t="shared" ref="AG18" si="23">SUM(AG11:AG17)</f>
        <v>0</v>
      </c>
      <c r="AH18" s="83">
        <f t="shared" ref="AH18" si="24">SUM(AH11:AH17)</f>
        <v>0</v>
      </c>
      <c r="AI18" s="86">
        <f>SUM(AI11:AI17)</f>
        <v>0</v>
      </c>
      <c r="AJ18" s="83">
        <f>SUM(AJ11:AJ17)</f>
        <v>0</v>
      </c>
      <c r="AK18" s="83">
        <f t="shared" ref="AK18" si="25">SUM(AK11:AK17)</f>
        <v>0</v>
      </c>
      <c r="AL18" s="83">
        <f t="shared" ref="AL18" si="26">SUM(AL11:AL17)</f>
        <v>0</v>
      </c>
      <c r="AM18" s="86">
        <f>SUM(AM11:AM17)</f>
        <v>0</v>
      </c>
      <c r="AN18" s="83">
        <f>SUM(AN11:AN17)</f>
        <v>0</v>
      </c>
      <c r="AO18" s="83">
        <f t="shared" ref="AO18" si="27">SUM(AO11:AO17)</f>
        <v>0</v>
      </c>
      <c r="AP18" s="83">
        <f t="shared" ref="AP18" si="28">SUM(AP11:AP17)</f>
        <v>0</v>
      </c>
      <c r="AQ18" s="86">
        <f>SUM(AQ11:AQ17)</f>
        <v>0</v>
      </c>
      <c r="AR18" s="87">
        <f>SUM(AR11:AR17)</f>
        <v>0</v>
      </c>
    </row>
    <row r="19" spans="1:62" s="3" customFormat="1" ht="19" thickBot="1">
      <c r="A19" s="34" t="s">
        <v>57</v>
      </c>
      <c r="B19" s="35"/>
      <c r="C19" s="35"/>
      <c r="D19" s="35"/>
      <c r="E19" s="36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/>
      <c r="AR19" s="88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</row>
    <row r="20" spans="1:62" ht="16" outlineLevel="1">
      <c r="A20" s="32" t="s">
        <v>58</v>
      </c>
      <c r="B20" s="14" t="s">
        <v>59</v>
      </c>
      <c r="C20" s="14">
        <v>4210257</v>
      </c>
      <c r="D20" s="14" t="s">
        <v>60</v>
      </c>
      <c r="E20" s="33" t="s">
        <v>39</v>
      </c>
      <c r="F20" s="64"/>
      <c r="G20" s="65"/>
      <c r="H20" s="66"/>
      <c r="I20" s="89">
        <f>SUM(F20:H20)</f>
        <v>0</v>
      </c>
      <c r="J20" s="90">
        <f>SUM(I20)</f>
        <v>0</v>
      </c>
      <c r="K20" s="69"/>
      <c r="L20" s="65"/>
      <c r="M20" s="66"/>
      <c r="N20" s="89">
        <f>SUM(K20:M20)</f>
        <v>0</v>
      </c>
      <c r="O20" s="66"/>
      <c r="P20" s="66"/>
      <c r="Q20" s="66"/>
      <c r="R20" s="89">
        <f>SUM(O20:Q20)</f>
        <v>0</v>
      </c>
      <c r="S20" s="70"/>
      <c r="T20" s="66"/>
      <c r="U20" s="66"/>
      <c r="V20" s="89">
        <f>SUM(S20:U20)</f>
        <v>0</v>
      </c>
      <c r="W20" s="66"/>
      <c r="X20" s="66"/>
      <c r="Y20" s="66"/>
      <c r="Z20" s="89">
        <f>SUM(W20:Y20)</f>
        <v>0</v>
      </c>
      <c r="AA20" s="90">
        <f>SUM(Z20,V20,R20,N20)</f>
        <v>0</v>
      </c>
      <c r="AB20" s="64"/>
      <c r="AC20" s="65"/>
      <c r="AD20" s="66"/>
      <c r="AE20" s="89">
        <f>SUM(AB20:AD20)</f>
        <v>0</v>
      </c>
      <c r="AF20" s="66"/>
      <c r="AG20" s="66"/>
      <c r="AH20" s="66"/>
      <c r="AI20" s="89">
        <f>SUM(AF20:AH20)</f>
        <v>0</v>
      </c>
      <c r="AJ20" s="70"/>
      <c r="AK20" s="66"/>
      <c r="AL20" s="66"/>
      <c r="AM20" s="89">
        <f>SUM(AJ20:AL20)</f>
        <v>0</v>
      </c>
      <c r="AN20" s="66"/>
      <c r="AO20" s="66"/>
      <c r="AP20" s="66"/>
      <c r="AQ20" s="89">
        <f>SUM(AN20:AP20)</f>
        <v>0</v>
      </c>
      <c r="AR20" s="90">
        <f>SUM(AQ20,AM20,AI20,AE20)</f>
        <v>0</v>
      </c>
    </row>
    <row r="21" spans="1:62" ht="16" outlineLevel="1">
      <c r="A21" s="8" t="s">
        <v>61</v>
      </c>
      <c r="B21" s="4" t="s">
        <v>62</v>
      </c>
      <c r="C21" s="4">
        <v>4210262</v>
      </c>
      <c r="D21" s="4" t="s">
        <v>63</v>
      </c>
      <c r="E21" s="9" t="s">
        <v>39</v>
      </c>
      <c r="F21" s="71"/>
      <c r="G21" s="72"/>
      <c r="H21" s="73"/>
      <c r="I21" s="91">
        <f>SUM(F21:H21)</f>
        <v>0</v>
      </c>
      <c r="J21" s="92">
        <f>SUM(I21)</f>
        <v>0</v>
      </c>
      <c r="K21" s="76"/>
      <c r="L21" s="72"/>
      <c r="M21" s="73"/>
      <c r="N21" s="91">
        <f t="shared" ref="N21:N26" si="29">SUM(K21:M21)</f>
        <v>0</v>
      </c>
      <c r="O21" s="73"/>
      <c r="P21" s="73"/>
      <c r="Q21" s="73"/>
      <c r="R21" s="91">
        <f>SUM(O21:Q21)</f>
        <v>0</v>
      </c>
      <c r="S21" s="77"/>
      <c r="T21" s="73"/>
      <c r="U21" s="73"/>
      <c r="V21" s="91">
        <f t="shared" ref="V21:V26" si="30">SUM(S21:U21)</f>
        <v>0</v>
      </c>
      <c r="W21" s="73"/>
      <c r="X21" s="73"/>
      <c r="Y21" s="73"/>
      <c r="Z21" s="91">
        <f>SUM(W21:Y21)</f>
        <v>0</v>
      </c>
      <c r="AA21" s="92">
        <f t="shared" ref="AA21:AA26" si="31">SUM(Z21,V21,R21,N21)</f>
        <v>0</v>
      </c>
      <c r="AB21" s="71"/>
      <c r="AC21" s="72"/>
      <c r="AD21" s="73"/>
      <c r="AE21" s="91">
        <f t="shared" ref="AE21:AE22" si="32">SUM(AB21:AD21)</f>
        <v>0</v>
      </c>
      <c r="AF21" s="73"/>
      <c r="AG21" s="73"/>
      <c r="AH21" s="73"/>
      <c r="AI21" s="91">
        <f>SUM(AF21:AH21)</f>
        <v>0</v>
      </c>
      <c r="AJ21" s="77"/>
      <c r="AK21" s="73"/>
      <c r="AL21" s="73"/>
      <c r="AM21" s="91">
        <f t="shared" ref="AM21:AM22" si="33">SUM(AJ21:AL21)</f>
        <v>0</v>
      </c>
      <c r="AN21" s="73"/>
      <c r="AO21" s="73"/>
      <c r="AP21" s="73"/>
      <c r="AQ21" s="91">
        <f>SUM(AN21:AP21)</f>
        <v>0</v>
      </c>
      <c r="AR21" s="92">
        <f t="shared" ref="AR21:AR24" si="34">SUM(AQ21,AM21,AI21,AE21)</f>
        <v>0</v>
      </c>
    </row>
    <row r="22" spans="1:62" ht="16" outlineLevel="1">
      <c r="A22" s="8" t="s">
        <v>64</v>
      </c>
      <c r="B22" s="4" t="s">
        <v>65</v>
      </c>
      <c r="C22" s="4">
        <v>4210287</v>
      </c>
      <c r="D22" s="4" t="s">
        <v>63</v>
      </c>
      <c r="E22" s="9" t="s">
        <v>39</v>
      </c>
      <c r="F22" s="71"/>
      <c r="G22" s="72"/>
      <c r="H22" s="73"/>
      <c r="I22" s="91">
        <f t="shared" ref="I22:I26" si="35">SUM(F22:H22)</f>
        <v>0</v>
      </c>
      <c r="J22" s="92">
        <f t="shared" ref="J22:J26" si="36">SUM(I22)</f>
        <v>0</v>
      </c>
      <c r="K22" s="76"/>
      <c r="L22" s="72"/>
      <c r="M22" s="73"/>
      <c r="N22" s="91">
        <f t="shared" si="29"/>
        <v>0</v>
      </c>
      <c r="O22" s="73"/>
      <c r="P22" s="73"/>
      <c r="Q22" s="73"/>
      <c r="R22" s="91">
        <f t="shared" ref="R22:R26" si="37">SUM(O22:Q22)</f>
        <v>0</v>
      </c>
      <c r="S22" s="77"/>
      <c r="T22" s="73"/>
      <c r="U22" s="73"/>
      <c r="V22" s="91">
        <f t="shared" si="30"/>
        <v>0</v>
      </c>
      <c r="W22" s="73"/>
      <c r="X22" s="73"/>
      <c r="Y22" s="73"/>
      <c r="Z22" s="91">
        <f t="shared" ref="Z22:Z26" si="38">SUM(W22:Y22)</f>
        <v>0</v>
      </c>
      <c r="AA22" s="92">
        <f t="shared" si="31"/>
        <v>0</v>
      </c>
      <c r="AB22" s="71"/>
      <c r="AC22" s="72"/>
      <c r="AD22" s="73"/>
      <c r="AE22" s="91">
        <f t="shared" si="32"/>
        <v>0</v>
      </c>
      <c r="AF22" s="73"/>
      <c r="AG22" s="73"/>
      <c r="AH22" s="73"/>
      <c r="AI22" s="91">
        <f t="shared" ref="AI22:AI23" si="39">SUM(AF22:AH22)</f>
        <v>0</v>
      </c>
      <c r="AJ22" s="77"/>
      <c r="AK22" s="73"/>
      <c r="AL22" s="73"/>
      <c r="AM22" s="91">
        <f t="shared" si="33"/>
        <v>0</v>
      </c>
      <c r="AN22" s="73"/>
      <c r="AO22" s="73"/>
      <c r="AP22" s="73"/>
      <c r="AQ22" s="91">
        <f t="shared" ref="AQ22:AQ24" si="40">SUM(AN22:AP22)</f>
        <v>0</v>
      </c>
      <c r="AR22" s="92">
        <f t="shared" si="34"/>
        <v>0</v>
      </c>
    </row>
    <row r="23" spans="1:62" ht="16" outlineLevel="1">
      <c r="A23" s="8" t="s">
        <v>66</v>
      </c>
      <c r="B23" s="4" t="s">
        <v>67</v>
      </c>
      <c r="C23" s="4">
        <v>4210267</v>
      </c>
      <c r="D23" s="4" t="s">
        <v>68</v>
      </c>
      <c r="E23" s="9" t="s">
        <v>39</v>
      </c>
      <c r="F23" s="71"/>
      <c r="G23" s="76"/>
      <c r="H23" s="73"/>
      <c r="I23" s="91">
        <f t="shared" si="35"/>
        <v>0</v>
      </c>
      <c r="J23" s="92">
        <f t="shared" si="36"/>
        <v>0</v>
      </c>
      <c r="K23" s="76"/>
      <c r="L23" s="76"/>
      <c r="M23" s="73"/>
      <c r="N23" s="91">
        <f t="shared" si="29"/>
        <v>0</v>
      </c>
      <c r="O23" s="76"/>
      <c r="P23" s="76"/>
      <c r="Q23" s="73"/>
      <c r="R23" s="91">
        <f t="shared" si="37"/>
        <v>0</v>
      </c>
      <c r="S23" s="76"/>
      <c r="T23" s="76"/>
      <c r="U23" s="73"/>
      <c r="V23" s="91">
        <f t="shared" si="30"/>
        <v>0</v>
      </c>
      <c r="W23" s="76"/>
      <c r="X23" s="76"/>
      <c r="Y23" s="73"/>
      <c r="Z23" s="91">
        <f t="shared" si="38"/>
        <v>0</v>
      </c>
      <c r="AA23" s="92">
        <f>SUM(Z23,V23,R23,N23)</f>
        <v>0</v>
      </c>
      <c r="AB23" s="71"/>
      <c r="AC23" s="76"/>
      <c r="AD23" s="73"/>
      <c r="AE23" s="91">
        <f>SUM(AB23:AD23)</f>
        <v>0</v>
      </c>
      <c r="AF23" s="76"/>
      <c r="AG23" s="76"/>
      <c r="AH23" s="73"/>
      <c r="AI23" s="91">
        <f t="shared" si="39"/>
        <v>0</v>
      </c>
      <c r="AJ23" s="76"/>
      <c r="AK23" s="76"/>
      <c r="AL23" s="73"/>
      <c r="AM23" s="91">
        <f>SUM(AJ23:AL23)</f>
        <v>0</v>
      </c>
      <c r="AN23" s="76"/>
      <c r="AO23" s="76"/>
      <c r="AP23" s="73"/>
      <c r="AQ23" s="91">
        <f t="shared" si="40"/>
        <v>0</v>
      </c>
      <c r="AR23" s="92">
        <f t="shared" si="34"/>
        <v>0</v>
      </c>
    </row>
    <row r="24" spans="1:62" ht="16" outlineLevel="1">
      <c r="A24" s="8" t="s">
        <v>69</v>
      </c>
      <c r="B24" s="4" t="s">
        <v>70</v>
      </c>
      <c r="C24" s="4">
        <v>4210272</v>
      </c>
      <c r="D24" s="4" t="s">
        <v>71</v>
      </c>
      <c r="E24" s="9" t="s">
        <v>39</v>
      </c>
      <c r="F24" s="71"/>
      <c r="G24" s="76"/>
      <c r="H24" s="73">
        <v>1000</v>
      </c>
      <c r="I24" s="91">
        <f t="shared" si="35"/>
        <v>1000</v>
      </c>
      <c r="J24" s="92">
        <f t="shared" si="36"/>
        <v>1000</v>
      </c>
      <c r="K24" s="76">
        <v>1000</v>
      </c>
      <c r="L24" s="76">
        <v>1000</v>
      </c>
      <c r="M24" s="73">
        <f>L24+(L24*0.25)</f>
        <v>1250</v>
      </c>
      <c r="N24" s="91">
        <f t="shared" si="29"/>
        <v>3250</v>
      </c>
      <c r="O24" s="76">
        <f>M24</f>
        <v>1250</v>
      </c>
      <c r="P24" s="76">
        <f>O24</f>
        <v>1250</v>
      </c>
      <c r="Q24" s="73">
        <f>P24+(P24*0.1)</f>
        <v>1375</v>
      </c>
      <c r="R24" s="91">
        <f t="shared" si="37"/>
        <v>3875</v>
      </c>
      <c r="S24" s="76">
        <f>Q24</f>
        <v>1375</v>
      </c>
      <c r="T24" s="76">
        <f>S24</f>
        <v>1375</v>
      </c>
      <c r="U24" s="73">
        <f>T24+(T24*0.12)</f>
        <v>1540</v>
      </c>
      <c r="V24" s="91">
        <f t="shared" si="30"/>
        <v>4290</v>
      </c>
      <c r="W24" s="76">
        <f>U24</f>
        <v>1540</v>
      </c>
      <c r="X24" s="76">
        <f>W24</f>
        <v>1540</v>
      </c>
      <c r="Y24" s="73">
        <f>X24+(X24*0.12)</f>
        <v>1724.8</v>
      </c>
      <c r="Z24" s="91">
        <f t="shared" si="38"/>
        <v>4804.8</v>
      </c>
      <c r="AA24" s="92">
        <f t="shared" si="31"/>
        <v>16219.8</v>
      </c>
      <c r="AB24" s="76">
        <f>Y24</f>
        <v>1724.8</v>
      </c>
      <c r="AC24" s="76">
        <f>AB24</f>
        <v>1724.8</v>
      </c>
      <c r="AD24" s="73">
        <f>AC24+(AC24*0.05)</f>
        <v>1811.04</v>
      </c>
      <c r="AE24" s="91">
        <f t="shared" ref="AE24:AE26" si="41">SUM(AB24:AD24)</f>
        <v>5260.6399999999994</v>
      </c>
      <c r="AF24" s="76">
        <f>AD24</f>
        <v>1811.04</v>
      </c>
      <c r="AG24" s="76">
        <f>AF24</f>
        <v>1811.04</v>
      </c>
      <c r="AH24" s="73">
        <f>AG24+(AG24*0.05)</f>
        <v>1901.5919999999999</v>
      </c>
      <c r="AI24" s="91">
        <f>SUM(AF24:AH24)</f>
        <v>5523.6719999999996</v>
      </c>
      <c r="AJ24" s="76">
        <f>AH24</f>
        <v>1901.5919999999999</v>
      </c>
      <c r="AK24" s="76">
        <f>AJ24</f>
        <v>1901.5919999999999</v>
      </c>
      <c r="AL24" s="73">
        <f>AK24+(AK24*0.05)</f>
        <v>1996.6715999999999</v>
      </c>
      <c r="AM24" s="91">
        <f t="shared" ref="AM24:AM26" si="42">SUM(AJ24:AL24)</f>
        <v>5799.8555999999999</v>
      </c>
      <c r="AN24" s="76">
        <f>AL24</f>
        <v>1996.6715999999999</v>
      </c>
      <c r="AO24" s="76">
        <f>AN24</f>
        <v>1996.6715999999999</v>
      </c>
      <c r="AP24" s="73">
        <f>AO24+(AO24*0.05)</f>
        <v>2096.5051800000001</v>
      </c>
      <c r="AQ24" s="91">
        <f t="shared" si="40"/>
        <v>6089.8483799999995</v>
      </c>
      <c r="AR24" s="92">
        <f t="shared" si="34"/>
        <v>22674.015979999996</v>
      </c>
    </row>
    <row r="25" spans="1:62" ht="16" outlineLevel="1">
      <c r="A25" s="4" t="s">
        <v>72</v>
      </c>
      <c r="B25" s="4" t="s">
        <v>73</v>
      </c>
      <c r="C25" s="4">
        <v>4210277</v>
      </c>
      <c r="D25" s="4" t="s">
        <v>74</v>
      </c>
      <c r="E25" s="9" t="s">
        <v>39</v>
      </c>
      <c r="F25" s="71"/>
      <c r="G25" s="76"/>
      <c r="H25" s="73">
        <v>500</v>
      </c>
      <c r="I25" s="91">
        <f t="shared" si="35"/>
        <v>500</v>
      </c>
      <c r="J25" s="92">
        <f t="shared" si="36"/>
        <v>500</v>
      </c>
      <c r="K25" s="76">
        <v>500</v>
      </c>
      <c r="L25" s="76">
        <v>500</v>
      </c>
      <c r="M25" s="73">
        <f t="shared" ref="M25:M26" si="43">L25+(L25*0.25)</f>
        <v>625</v>
      </c>
      <c r="N25" s="91">
        <f t="shared" si="29"/>
        <v>1625</v>
      </c>
      <c r="O25" s="76">
        <f t="shared" ref="O25:O26" si="44">M25</f>
        <v>625</v>
      </c>
      <c r="P25" s="76">
        <f>O25</f>
        <v>625</v>
      </c>
      <c r="Q25" s="73">
        <f t="shared" ref="Q25:Q26" si="45">P25+(P25*0.1)</f>
        <v>687.5</v>
      </c>
      <c r="R25" s="91">
        <f t="shared" si="37"/>
        <v>1937.5</v>
      </c>
      <c r="S25" s="76">
        <f t="shared" ref="S25:S26" si="46">Q25</f>
        <v>687.5</v>
      </c>
      <c r="T25" s="76">
        <f>S25</f>
        <v>687.5</v>
      </c>
      <c r="U25" s="73">
        <f t="shared" ref="U25:U26" si="47">T25+(T25*0.12)</f>
        <v>770</v>
      </c>
      <c r="V25" s="91">
        <f t="shared" si="30"/>
        <v>2145</v>
      </c>
      <c r="W25" s="76">
        <f t="shared" ref="W25:W26" si="48">U25</f>
        <v>770</v>
      </c>
      <c r="X25" s="76">
        <f>W25</f>
        <v>770</v>
      </c>
      <c r="Y25" s="73">
        <f t="shared" ref="Y25:Y26" si="49">X25+(X25*0.12)</f>
        <v>862.4</v>
      </c>
      <c r="Z25" s="91">
        <f t="shared" si="38"/>
        <v>2402.4</v>
      </c>
      <c r="AA25" s="92">
        <f t="shared" si="31"/>
        <v>8109.9</v>
      </c>
      <c r="AB25" s="76">
        <f t="shared" ref="AB25:AB26" si="50">Y25</f>
        <v>862.4</v>
      </c>
      <c r="AC25" s="76">
        <f>AB25</f>
        <v>862.4</v>
      </c>
      <c r="AD25" s="73">
        <f t="shared" ref="AD25:AD26" si="51">AC25+(AC25*0.05)</f>
        <v>905.52</v>
      </c>
      <c r="AE25" s="91">
        <f t="shared" si="41"/>
        <v>2630.3199999999997</v>
      </c>
      <c r="AF25" s="76">
        <f t="shared" ref="AF25:AF26" si="52">AD25</f>
        <v>905.52</v>
      </c>
      <c r="AG25" s="76">
        <f>AF25</f>
        <v>905.52</v>
      </c>
      <c r="AH25" s="73">
        <f t="shared" ref="AH25:AH26" si="53">AG25+(AG25*0.05)</f>
        <v>950.79599999999994</v>
      </c>
      <c r="AI25" s="91">
        <f t="shared" ref="AI25:AI26" si="54">SUM(AF25:AH25)</f>
        <v>2761.8359999999998</v>
      </c>
      <c r="AJ25" s="76">
        <f t="shared" ref="AJ25:AJ26" si="55">AH25</f>
        <v>950.79599999999994</v>
      </c>
      <c r="AK25" s="76">
        <f>AJ25</f>
        <v>950.79599999999994</v>
      </c>
      <c r="AL25" s="73">
        <f t="shared" ref="AL25:AL26" si="56">AK25+(AK25*0.05)</f>
        <v>998.33579999999995</v>
      </c>
      <c r="AM25" s="91">
        <f t="shared" si="42"/>
        <v>2899.9277999999999</v>
      </c>
      <c r="AN25" s="76">
        <f t="shared" ref="AN25:AN26" si="57">AL25</f>
        <v>998.33579999999995</v>
      </c>
      <c r="AO25" s="76">
        <f>AN25</f>
        <v>998.33579999999995</v>
      </c>
      <c r="AP25" s="73">
        <f t="shared" ref="AP25:AP26" si="58">AO25+(AO25*0.05)</f>
        <v>1048.2525900000001</v>
      </c>
      <c r="AQ25" s="91">
        <f>SUM(AN25:AP25)</f>
        <v>3044.9241899999997</v>
      </c>
      <c r="AR25" s="92">
        <f>SUM(AQ25,AM25,AI25,AE25)</f>
        <v>11337.007989999998</v>
      </c>
    </row>
    <row r="26" spans="1:62" ht="17" outlineLevel="1" thickBot="1">
      <c r="A26" s="30" t="s">
        <v>75</v>
      </c>
      <c r="B26" s="31" t="s">
        <v>76</v>
      </c>
      <c r="C26" s="31">
        <v>4210282</v>
      </c>
      <c r="D26" s="31" t="s">
        <v>74</v>
      </c>
      <c r="E26" s="9" t="s">
        <v>39</v>
      </c>
      <c r="F26" s="78"/>
      <c r="G26" s="79"/>
      <c r="H26" s="80">
        <v>500</v>
      </c>
      <c r="I26" s="93">
        <f t="shared" si="35"/>
        <v>500</v>
      </c>
      <c r="J26" s="94">
        <f t="shared" si="36"/>
        <v>500</v>
      </c>
      <c r="K26" s="80">
        <v>500</v>
      </c>
      <c r="L26" s="79">
        <v>500</v>
      </c>
      <c r="M26" s="73">
        <f t="shared" si="43"/>
        <v>625</v>
      </c>
      <c r="N26" s="93">
        <f t="shared" si="29"/>
        <v>1625</v>
      </c>
      <c r="O26" s="76">
        <f t="shared" si="44"/>
        <v>625</v>
      </c>
      <c r="P26" s="79">
        <f>O26</f>
        <v>625</v>
      </c>
      <c r="Q26" s="73">
        <f t="shared" si="45"/>
        <v>687.5</v>
      </c>
      <c r="R26" s="93">
        <f t="shared" si="37"/>
        <v>1937.5</v>
      </c>
      <c r="S26" s="76">
        <f t="shared" si="46"/>
        <v>687.5</v>
      </c>
      <c r="T26" s="79">
        <f>S26</f>
        <v>687.5</v>
      </c>
      <c r="U26" s="73">
        <f t="shared" si="47"/>
        <v>770</v>
      </c>
      <c r="V26" s="93">
        <f t="shared" si="30"/>
        <v>2145</v>
      </c>
      <c r="W26" s="76">
        <f t="shared" si="48"/>
        <v>770</v>
      </c>
      <c r="X26" s="79">
        <f>W26</f>
        <v>770</v>
      </c>
      <c r="Y26" s="73">
        <f t="shared" si="49"/>
        <v>862.4</v>
      </c>
      <c r="Z26" s="93">
        <f t="shared" si="38"/>
        <v>2402.4</v>
      </c>
      <c r="AA26" s="94">
        <f t="shared" si="31"/>
        <v>8109.9</v>
      </c>
      <c r="AB26" s="76">
        <f t="shared" si="50"/>
        <v>862.4</v>
      </c>
      <c r="AC26" s="79">
        <f>AB26</f>
        <v>862.4</v>
      </c>
      <c r="AD26" s="73">
        <f t="shared" si="51"/>
        <v>905.52</v>
      </c>
      <c r="AE26" s="93">
        <f t="shared" si="41"/>
        <v>2630.3199999999997</v>
      </c>
      <c r="AF26" s="76">
        <f t="shared" si="52"/>
        <v>905.52</v>
      </c>
      <c r="AG26" s="79">
        <f>AF26</f>
        <v>905.52</v>
      </c>
      <c r="AH26" s="73">
        <f t="shared" si="53"/>
        <v>950.79599999999994</v>
      </c>
      <c r="AI26" s="93">
        <f t="shared" si="54"/>
        <v>2761.8359999999998</v>
      </c>
      <c r="AJ26" s="76">
        <f t="shared" si="55"/>
        <v>950.79599999999994</v>
      </c>
      <c r="AK26" s="79">
        <f>AJ26</f>
        <v>950.79599999999994</v>
      </c>
      <c r="AL26" s="73">
        <f t="shared" si="56"/>
        <v>998.33579999999995</v>
      </c>
      <c r="AM26" s="93">
        <f t="shared" si="42"/>
        <v>2899.9277999999999</v>
      </c>
      <c r="AN26" s="76">
        <f t="shared" si="57"/>
        <v>998.33579999999995</v>
      </c>
      <c r="AO26" s="79">
        <f>AN26</f>
        <v>998.33579999999995</v>
      </c>
      <c r="AP26" s="73">
        <f t="shared" si="58"/>
        <v>1048.2525900000001</v>
      </c>
      <c r="AQ26" s="93">
        <f t="shared" ref="AQ26" si="59">SUM(AN26:AP26)</f>
        <v>3044.9241899999997</v>
      </c>
      <c r="AR26" s="94">
        <f t="shared" ref="AR26" si="60">SUM(AQ26,AM26,AI26,AE26)</f>
        <v>11337.007989999998</v>
      </c>
    </row>
    <row r="27" spans="1:62" ht="16" thickBot="1">
      <c r="A27" s="102" t="s">
        <v>56</v>
      </c>
      <c r="B27" s="103"/>
      <c r="C27" s="103"/>
      <c r="D27" s="103"/>
      <c r="E27" s="104"/>
      <c r="F27" s="83">
        <f>SUM(F20:F26)</f>
        <v>0</v>
      </c>
      <c r="G27" s="83">
        <f t="shared" ref="G27" si="61">SUM(G20:G26)</f>
        <v>0</v>
      </c>
      <c r="H27" s="83">
        <f t="shared" ref="H27" si="62">SUM(H20:H26)</f>
        <v>2000</v>
      </c>
      <c r="I27" s="84">
        <f>SUM(I20:I26)</f>
        <v>2000</v>
      </c>
      <c r="J27" s="85">
        <f>SUM(J20:J26)</f>
        <v>2000</v>
      </c>
      <c r="K27" s="83">
        <f t="shared" ref="K27:M27" si="63">SUM(K20:K26)</f>
        <v>2000</v>
      </c>
      <c r="L27" s="83">
        <f t="shared" si="63"/>
        <v>2000</v>
      </c>
      <c r="M27" s="83">
        <f t="shared" si="63"/>
        <v>2500</v>
      </c>
      <c r="N27" s="86">
        <f>SUM(N20:N26)</f>
        <v>6500</v>
      </c>
      <c r="O27" s="83">
        <f t="shared" ref="O27:Q27" si="64">SUM(O20:O26)</f>
        <v>2500</v>
      </c>
      <c r="P27" s="83">
        <f t="shared" si="64"/>
        <v>2500</v>
      </c>
      <c r="Q27" s="83">
        <f t="shared" si="64"/>
        <v>2750</v>
      </c>
      <c r="R27" s="86">
        <f>SUM(R20:R26)</f>
        <v>7750</v>
      </c>
      <c r="S27" s="83">
        <f t="shared" ref="S27:U27" si="65">SUM(S20:S26)</f>
        <v>2750</v>
      </c>
      <c r="T27" s="83">
        <f t="shared" si="65"/>
        <v>2750</v>
      </c>
      <c r="U27" s="83">
        <f t="shared" si="65"/>
        <v>3080</v>
      </c>
      <c r="V27" s="86">
        <f>SUM(V20:V26)</f>
        <v>8580</v>
      </c>
      <c r="W27" s="83">
        <f t="shared" ref="W27:Y27" si="66">SUM(W20:W26)</f>
        <v>3080</v>
      </c>
      <c r="X27" s="83">
        <f t="shared" si="66"/>
        <v>3080</v>
      </c>
      <c r="Y27" s="83">
        <f t="shared" si="66"/>
        <v>3449.6</v>
      </c>
      <c r="Z27" s="86">
        <f>SUM(Z20:Z26)</f>
        <v>9609.6</v>
      </c>
      <c r="AA27" s="87">
        <f>SUM(AA20:AA26)</f>
        <v>32439.599999999999</v>
      </c>
      <c r="AB27" s="83">
        <f t="shared" ref="AB27:AD27" si="67">SUM(AB20:AB26)</f>
        <v>3449.6</v>
      </c>
      <c r="AC27" s="83">
        <f t="shared" si="67"/>
        <v>3449.6</v>
      </c>
      <c r="AD27" s="83">
        <f t="shared" si="67"/>
        <v>3622.08</v>
      </c>
      <c r="AE27" s="86">
        <f>SUM(AE20:AE26)</f>
        <v>10521.279999999999</v>
      </c>
      <c r="AF27" s="83">
        <f t="shared" ref="AF27:AH27" si="68">SUM(AF20:AF26)</f>
        <v>3622.08</v>
      </c>
      <c r="AG27" s="83">
        <f t="shared" si="68"/>
        <v>3622.08</v>
      </c>
      <c r="AH27" s="83">
        <f t="shared" si="68"/>
        <v>3803.1839999999997</v>
      </c>
      <c r="AI27" s="86">
        <f>SUM(AI20:AI26)</f>
        <v>11047.343999999999</v>
      </c>
      <c r="AJ27" s="83">
        <f t="shared" ref="AJ27:AL27" si="69">SUM(AJ20:AJ26)</f>
        <v>3803.1839999999997</v>
      </c>
      <c r="AK27" s="83">
        <f t="shared" si="69"/>
        <v>3803.1839999999997</v>
      </c>
      <c r="AL27" s="83">
        <f t="shared" si="69"/>
        <v>3993.3431999999998</v>
      </c>
      <c r="AM27" s="86">
        <f>SUM(AM20:AM26)</f>
        <v>11599.7112</v>
      </c>
      <c r="AN27" s="83">
        <f t="shared" ref="AN27:AP27" si="70">SUM(AN20:AN26)</f>
        <v>3993.3431999999998</v>
      </c>
      <c r="AO27" s="83">
        <f t="shared" si="70"/>
        <v>3993.3431999999998</v>
      </c>
      <c r="AP27" s="83">
        <f t="shared" si="70"/>
        <v>4193.0103600000002</v>
      </c>
      <c r="AQ27" s="86">
        <f>SUM(AQ20:AQ26)</f>
        <v>12179.696759999999</v>
      </c>
      <c r="AR27" s="87">
        <f>SUM(AR20:AR26)</f>
        <v>45348.031959999993</v>
      </c>
    </row>
    <row r="28" spans="1:62" s="3" customFormat="1" ht="18">
      <c r="A28" s="41"/>
      <c r="B28" s="47"/>
      <c r="C28" s="47"/>
      <c r="D28" s="47"/>
      <c r="E28" s="48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6"/>
      <c r="AC28" s="97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</row>
    <row r="29" spans="1:62" s="3" customFormat="1" ht="16" thickBot="1">
      <c r="A29" s="47"/>
      <c r="B29" s="47"/>
      <c r="C29" s="47"/>
      <c r="D29" s="47"/>
      <c r="E29" s="48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6"/>
      <c r="AC29" s="97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</row>
    <row r="30" spans="1:62" ht="19" thickBot="1">
      <c r="A30" s="130" t="s">
        <v>78</v>
      </c>
      <c r="B30" s="131"/>
      <c r="C30" s="131"/>
      <c r="D30" s="131"/>
      <c r="E30" s="132"/>
      <c r="F30" s="49"/>
      <c r="G30" s="49"/>
      <c r="H30" s="49"/>
      <c r="I30" s="49"/>
      <c r="J30" s="56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6"/>
      <c r="AB30" s="57"/>
      <c r="AC30" s="58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</row>
    <row r="31" spans="1:62" ht="17" outlineLevel="1">
      <c r="A31" s="50" t="s">
        <v>79</v>
      </c>
      <c r="B31" s="52" t="s">
        <v>80</v>
      </c>
      <c r="C31" s="52">
        <v>4315220</v>
      </c>
      <c r="D31" s="53"/>
      <c r="E31" s="14" t="s">
        <v>77</v>
      </c>
      <c r="F31" s="64"/>
      <c r="G31" s="69"/>
      <c r="H31" s="66">
        <v>1000</v>
      </c>
      <c r="I31" s="89">
        <f t="shared" ref="I31:I32" si="71">SUM(F31:H31)</f>
        <v>1000</v>
      </c>
      <c r="J31" s="90">
        <f t="shared" ref="J31:J32" si="72">SUM(I31)</f>
        <v>1000</v>
      </c>
      <c r="K31" s="69">
        <v>1000</v>
      </c>
      <c r="L31" s="69">
        <v>1000</v>
      </c>
      <c r="M31" s="66">
        <v>1000</v>
      </c>
      <c r="N31" s="89">
        <f t="shared" ref="N31:N32" si="73">SUM(K31:M31)</f>
        <v>3000</v>
      </c>
      <c r="O31" s="69">
        <v>1000</v>
      </c>
      <c r="P31" s="69">
        <v>1000</v>
      </c>
      <c r="Q31" s="73">
        <f>P31+(P31*0.25)</f>
        <v>1250</v>
      </c>
      <c r="R31" s="89">
        <f t="shared" ref="R31:R32" si="74">SUM(O31:Q31)</f>
        <v>3250</v>
      </c>
      <c r="S31" s="69">
        <f>Q31</f>
        <v>1250</v>
      </c>
      <c r="T31" s="69">
        <f>S31</f>
        <v>1250</v>
      </c>
      <c r="U31" s="66">
        <f>T31+(T31*0.12)</f>
        <v>1400</v>
      </c>
      <c r="V31" s="89">
        <f t="shared" ref="V31" si="75">SUM(S31:U31)</f>
        <v>3900</v>
      </c>
      <c r="W31" s="69">
        <f>U31</f>
        <v>1400</v>
      </c>
      <c r="X31" s="69">
        <f>W31</f>
        <v>1400</v>
      </c>
      <c r="Y31" s="66">
        <f>X31+(X31*0.12)</f>
        <v>1568</v>
      </c>
      <c r="Z31" s="89">
        <f t="shared" ref="Z31" si="76">SUM(W31:Y31)</f>
        <v>4368</v>
      </c>
      <c r="AA31" s="90">
        <f t="shared" ref="AA31" si="77">SUM(Z31,V31,R31,N31)</f>
        <v>14518</v>
      </c>
      <c r="AB31" s="64">
        <f>Y31</f>
        <v>1568</v>
      </c>
      <c r="AC31" s="69">
        <f>AB31</f>
        <v>1568</v>
      </c>
      <c r="AD31" s="66">
        <f>AC31+(AC31*0.05)</f>
        <v>1646.4</v>
      </c>
      <c r="AE31" s="89">
        <f t="shared" ref="AE31" si="78">SUM(AB31:AD31)</f>
        <v>4782.3999999999996</v>
      </c>
      <c r="AF31" s="69">
        <f>AD31</f>
        <v>1646.4</v>
      </c>
      <c r="AG31" s="69">
        <f>AF31</f>
        <v>1646.4</v>
      </c>
      <c r="AH31" s="66">
        <f>AG31+(AG31*0.05)</f>
        <v>1728.72</v>
      </c>
      <c r="AI31" s="89">
        <f>SUM(AF31:AH31)</f>
        <v>5021.5200000000004</v>
      </c>
      <c r="AJ31" s="69">
        <f>AH31</f>
        <v>1728.72</v>
      </c>
      <c r="AK31" s="69">
        <f>AJ31</f>
        <v>1728.72</v>
      </c>
      <c r="AL31" s="66">
        <f>AK31+(AK31*0.05)</f>
        <v>1815.1559999999999</v>
      </c>
      <c r="AM31" s="89">
        <f t="shared" ref="AM31" si="79">SUM(AJ31:AL31)</f>
        <v>5272.5959999999995</v>
      </c>
      <c r="AN31" s="69">
        <f>AL31</f>
        <v>1815.1559999999999</v>
      </c>
      <c r="AO31" s="69">
        <f>AN31</f>
        <v>1815.1559999999999</v>
      </c>
      <c r="AP31" s="66">
        <f>AO31+(AO31*0.05)</f>
        <v>1905.9138</v>
      </c>
      <c r="AQ31" s="89">
        <f>SUM(AN31:AP31)</f>
        <v>5536.2258000000002</v>
      </c>
      <c r="AR31" s="90">
        <f>SUM(AQ31,AM31,AI31,AE31)</f>
        <v>20612.7418</v>
      </c>
    </row>
    <row r="32" spans="1:62" ht="18" outlineLevel="1" thickBot="1">
      <c r="A32" s="16" t="s">
        <v>81</v>
      </c>
      <c r="B32" s="19" t="s">
        <v>82</v>
      </c>
      <c r="C32" s="19">
        <v>4315320</v>
      </c>
      <c r="D32" s="10"/>
      <c r="E32" s="14" t="s">
        <v>77</v>
      </c>
      <c r="F32" s="78"/>
      <c r="G32" s="79"/>
      <c r="H32" s="80">
        <v>1000</v>
      </c>
      <c r="I32" s="93">
        <f t="shared" si="71"/>
        <v>1000</v>
      </c>
      <c r="J32" s="94">
        <f t="shared" si="72"/>
        <v>1000</v>
      </c>
      <c r="K32" s="80">
        <v>1000</v>
      </c>
      <c r="L32" s="79">
        <v>1000</v>
      </c>
      <c r="M32" s="80">
        <f>L32+(L32*0.25)</f>
        <v>1250</v>
      </c>
      <c r="N32" s="93">
        <f t="shared" si="73"/>
        <v>3250</v>
      </c>
      <c r="O32" s="80">
        <f>M32</f>
        <v>1250</v>
      </c>
      <c r="P32" s="79">
        <f>O32</f>
        <v>1250</v>
      </c>
      <c r="Q32" s="80">
        <f>P32+(P32*0.2)</f>
        <v>1500</v>
      </c>
      <c r="R32" s="93">
        <f t="shared" si="74"/>
        <v>4000</v>
      </c>
      <c r="S32" s="80">
        <f>Q32</f>
        <v>1500</v>
      </c>
      <c r="T32" s="79">
        <f>S32</f>
        <v>1500</v>
      </c>
      <c r="U32" s="80">
        <f>T32+(T32*0.12)</f>
        <v>1680</v>
      </c>
      <c r="V32" s="93">
        <f t="shared" ref="V31:V32" si="80">SUM(S32:U32)</f>
        <v>4680</v>
      </c>
      <c r="W32" s="80">
        <f>U32</f>
        <v>1680</v>
      </c>
      <c r="X32" s="79">
        <f>W32</f>
        <v>1680</v>
      </c>
      <c r="Y32" s="80">
        <f>X32+(X32*0.12)</f>
        <v>1881.6</v>
      </c>
      <c r="Z32" s="93">
        <f t="shared" ref="Z31:Z32" si="81">SUM(W32:Y32)</f>
        <v>5241.6000000000004</v>
      </c>
      <c r="AA32" s="94">
        <f t="shared" ref="AA31:AA32" si="82">SUM(Z32,V32,R32,N32)</f>
        <v>17171.599999999999</v>
      </c>
      <c r="AB32" s="78">
        <f>Y32</f>
        <v>1881.6</v>
      </c>
      <c r="AC32" s="79">
        <f>AB32</f>
        <v>1881.6</v>
      </c>
      <c r="AD32" s="80">
        <f>AC32+(AC32*0.05)</f>
        <v>1975.6799999999998</v>
      </c>
      <c r="AE32" s="93">
        <f t="shared" ref="AE31:AE32" si="83">SUM(AB32:AD32)</f>
        <v>5738.8799999999992</v>
      </c>
      <c r="AF32" s="79">
        <f>AD32</f>
        <v>1975.6799999999998</v>
      </c>
      <c r="AG32" s="79">
        <f>AF32</f>
        <v>1975.6799999999998</v>
      </c>
      <c r="AH32" s="80">
        <f>AG32+(AG32*0.05)</f>
        <v>2074.4639999999999</v>
      </c>
      <c r="AI32" s="93">
        <f>SUM(AF32:AH32)</f>
        <v>6025.8239999999996</v>
      </c>
      <c r="AJ32" s="80">
        <f>AH32</f>
        <v>2074.4639999999999</v>
      </c>
      <c r="AK32" s="80">
        <f>AJ32</f>
        <v>2074.4639999999999</v>
      </c>
      <c r="AL32" s="80">
        <f>AK32+(AK32*0.05)</f>
        <v>2178.1871999999998</v>
      </c>
      <c r="AM32" s="93">
        <f t="shared" ref="AM31:AM32" si="84">SUM(AJ32:AL32)</f>
        <v>6327.1152000000002</v>
      </c>
      <c r="AN32" s="80">
        <f>AL32</f>
        <v>2178.1871999999998</v>
      </c>
      <c r="AO32" s="80">
        <f>AN32</f>
        <v>2178.1871999999998</v>
      </c>
      <c r="AP32" s="80">
        <f>AO32+(AO32*0.05)</f>
        <v>2287.09656</v>
      </c>
      <c r="AQ32" s="93">
        <f t="shared" ref="AQ32" si="85">SUM(AN32:AP32)</f>
        <v>6643.4709599999996</v>
      </c>
      <c r="AR32" s="94">
        <f t="shared" ref="AR32" si="86">SUM(AQ32,AM32,AI32,AE32)</f>
        <v>24735.290159999997</v>
      </c>
    </row>
    <row r="33" spans="1:44" ht="16" thickBot="1">
      <c r="A33" s="102" t="s">
        <v>56</v>
      </c>
      <c r="B33" s="103"/>
      <c r="C33" s="103"/>
      <c r="D33" s="103"/>
      <c r="E33" s="104"/>
      <c r="F33" s="83">
        <f>SUM(F31:F32)</f>
        <v>0</v>
      </c>
      <c r="G33" s="83">
        <f t="shared" ref="G33:H33" si="87">SUM(G31:G32)</f>
        <v>0</v>
      </c>
      <c r="H33" s="83">
        <f t="shared" si="87"/>
        <v>2000</v>
      </c>
      <c r="I33" s="84">
        <f>SUM(I31:I32)</f>
        <v>2000</v>
      </c>
      <c r="J33" s="85">
        <f>SUM(J31:J32)</f>
        <v>2000</v>
      </c>
      <c r="K33" s="83">
        <f>SUM(K31:K32)</f>
        <v>2000</v>
      </c>
      <c r="L33" s="83">
        <f t="shared" ref="L33" si="88">SUM(L31:L32)</f>
        <v>2000</v>
      </c>
      <c r="M33" s="83">
        <f t="shared" ref="M33" si="89">SUM(M31:M32)</f>
        <v>2250</v>
      </c>
      <c r="N33" s="86">
        <f>SUM(N31:N32)</f>
        <v>6250</v>
      </c>
      <c r="O33" s="83">
        <f>SUM(O31:O32)</f>
        <v>2250</v>
      </c>
      <c r="P33" s="83">
        <f t="shared" ref="P33" si="90">SUM(P31:P32)</f>
        <v>2250</v>
      </c>
      <c r="Q33" s="83">
        <f t="shared" ref="Q33" si="91">SUM(Q31:Q32)</f>
        <v>2750</v>
      </c>
      <c r="R33" s="86">
        <f>SUM(R31:R32)</f>
        <v>7250</v>
      </c>
      <c r="S33" s="83">
        <f>SUM(S31:S32)</f>
        <v>2750</v>
      </c>
      <c r="T33" s="83">
        <f t="shared" ref="T33" si="92">SUM(T31:T32)</f>
        <v>2750</v>
      </c>
      <c r="U33" s="83">
        <f t="shared" ref="U33" si="93">SUM(U31:U32)</f>
        <v>3080</v>
      </c>
      <c r="V33" s="86">
        <f>SUM(V31:V32)</f>
        <v>8580</v>
      </c>
      <c r="W33" s="83">
        <f>SUM(W31:W32)</f>
        <v>3080</v>
      </c>
      <c r="X33" s="83">
        <f t="shared" ref="X33" si="94">SUM(X31:X32)</f>
        <v>3080</v>
      </c>
      <c r="Y33" s="83">
        <f t="shared" ref="Y33" si="95">SUM(Y31:Y32)</f>
        <v>3449.6</v>
      </c>
      <c r="Z33" s="86">
        <f>SUM(Z31:Z32)</f>
        <v>9609.6</v>
      </c>
      <c r="AA33" s="87">
        <f>SUM(AA31:AA32)</f>
        <v>31689.599999999999</v>
      </c>
      <c r="AB33" s="83">
        <f>SUM(AB31:AB32)</f>
        <v>3449.6</v>
      </c>
      <c r="AC33" s="83">
        <f t="shared" ref="AC33" si="96">SUM(AC31:AC32)</f>
        <v>3449.6</v>
      </c>
      <c r="AD33" s="83">
        <f t="shared" ref="AD33" si="97">SUM(AD31:AD32)</f>
        <v>3622.08</v>
      </c>
      <c r="AE33" s="86">
        <f>SUM(AE31:AE32)</f>
        <v>10521.279999999999</v>
      </c>
      <c r="AF33" s="83">
        <f>SUM(AF31:AF32)</f>
        <v>3622.08</v>
      </c>
      <c r="AG33" s="83">
        <f t="shared" ref="AG33" si="98">SUM(AG31:AG32)</f>
        <v>3622.08</v>
      </c>
      <c r="AH33" s="83">
        <f t="shared" ref="AH33" si="99">SUM(AH31:AH32)</f>
        <v>3803.1840000000002</v>
      </c>
      <c r="AI33" s="86">
        <f>SUM(AI31:AI32)</f>
        <v>11047.344000000001</v>
      </c>
      <c r="AJ33" s="83">
        <f>SUM(AJ31:AJ32)</f>
        <v>3803.1840000000002</v>
      </c>
      <c r="AK33" s="83">
        <f t="shared" ref="AK33" si="100">SUM(AK31:AK32)</f>
        <v>3803.1840000000002</v>
      </c>
      <c r="AL33" s="83">
        <f t="shared" ref="AL33" si="101">SUM(AL31:AL32)</f>
        <v>3993.3431999999998</v>
      </c>
      <c r="AM33" s="86">
        <f>SUM(AM31:AM32)</f>
        <v>11599.7112</v>
      </c>
      <c r="AN33" s="83">
        <f>SUM(AN31:AN32)</f>
        <v>3993.3431999999998</v>
      </c>
      <c r="AO33" s="83">
        <f t="shared" ref="AO33" si="102">SUM(AO31:AO32)</f>
        <v>3993.3431999999998</v>
      </c>
      <c r="AP33" s="83">
        <f t="shared" ref="AP33" si="103">SUM(AP31:AP32)</f>
        <v>4193.0103600000002</v>
      </c>
      <c r="AQ33" s="86">
        <f>SUM(AQ31:AQ32)</f>
        <v>12179.696759999999</v>
      </c>
      <c r="AR33" s="87">
        <f>SUM(AR31:AR32)</f>
        <v>45348.031959999993</v>
      </c>
    </row>
    <row r="34" spans="1:44" ht="16" thickBot="1">
      <c r="A34" s="40"/>
      <c r="B34" s="40"/>
      <c r="C34" s="40"/>
      <c r="D34" s="40"/>
      <c r="E34" s="49"/>
      <c r="F34" s="49"/>
      <c r="G34" s="49"/>
      <c r="H34" s="49"/>
      <c r="I34" s="49"/>
      <c r="J34" s="56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6"/>
      <c r="AB34" s="57"/>
      <c r="AC34" s="58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</row>
    <row r="35" spans="1:44" ht="19" thickBot="1">
      <c r="A35" s="119" t="s">
        <v>83</v>
      </c>
      <c r="B35" s="120"/>
      <c r="C35" s="120"/>
      <c r="D35" s="120"/>
      <c r="E35" s="121"/>
      <c r="F35" s="49"/>
      <c r="G35" s="49"/>
      <c r="H35" s="49"/>
      <c r="I35" s="49"/>
      <c r="J35" s="56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6"/>
      <c r="AB35" s="57"/>
      <c r="AC35" s="58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</row>
    <row r="36" spans="1:44" ht="17" outlineLevel="1">
      <c r="A36" s="50" t="s">
        <v>84</v>
      </c>
      <c r="B36" s="51" t="s">
        <v>85</v>
      </c>
      <c r="C36" s="52">
        <v>4212205</v>
      </c>
      <c r="D36" s="53"/>
      <c r="E36" s="14" t="s">
        <v>77</v>
      </c>
      <c r="F36" s="64"/>
      <c r="G36" s="69"/>
      <c r="H36" s="66"/>
      <c r="I36" s="89">
        <f t="shared" ref="I36:I39" si="104">SUM(F36:H36)</f>
        <v>0</v>
      </c>
      <c r="J36" s="90">
        <f t="shared" ref="J36:J39" si="105">SUM(I36)</f>
        <v>0</v>
      </c>
      <c r="K36" s="69"/>
      <c r="L36" s="69">
        <v>300</v>
      </c>
      <c r="M36" s="66">
        <v>500</v>
      </c>
      <c r="N36" s="89">
        <f t="shared" ref="N36:N39" si="106">SUM(K36:M36)</f>
        <v>800</v>
      </c>
      <c r="O36" s="69">
        <f>M36</f>
        <v>500</v>
      </c>
      <c r="P36" s="69">
        <v>600</v>
      </c>
      <c r="Q36" s="66">
        <f>P36+(P36*0.2)</f>
        <v>720</v>
      </c>
      <c r="R36" s="89">
        <f t="shared" ref="R36" si="107">SUM(O36:Q36)</f>
        <v>1820</v>
      </c>
      <c r="S36" s="69">
        <f>Q36+100</f>
        <v>820</v>
      </c>
      <c r="T36" s="69">
        <f>S36+20</f>
        <v>840</v>
      </c>
      <c r="U36" s="66">
        <f>T36+(T36*0.2)</f>
        <v>1008</v>
      </c>
      <c r="V36" s="89">
        <f t="shared" ref="V36" si="108">SUM(S36:U36)</f>
        <v>2668</v>
      </c>
      <c r="W36" s="69">
        <f>U36</f>
        <v>1008</v>
      </c>
      <c r="X36" s="69">
        <f>W36+20</f>
        <v>1028</v>
      </c>
      <c r="Y36" s="66">
        <f>X36+(X36*0.2)</f>
        <v>1233.5999999999999</v>
      </c>
      <c r="Z36" s="89">
        <f t="shared" ref="Z36" si="109">SUM(W36:Y36)</f>
        <v>3269.6</v>
      </c>
      <c r="AA36" s="90">
        <f t="shared" ref="AA36" si="110">SUM(Z36,V36,R36,N36)</f>
        <v>8557.6</v>
      </c>
      <c r="AB36" s="64">
        <f>Y36</f>
        <v>1233.5999999999999</v>
      </c>
      <c r="AC36" s="69">
        <f>AB36+20</f>
        <v>1253.5999999999999</v>
      </c>
      <c r="AD36" s="66">
        <f>AC36+(AC36*0.2)</f>
        <v>1504.32</v>
      </c>
      <c r="AE36" s="89">
        <f t="shared" ref="AE36" si="111">SUM(AB36:AD36)</f>
        <v>3991.5199999999995</v>
      </c>
      <c r="AF36" s="69">
        <f>AD36</f>
        <v>1504.32</v>
      </c>
      <c r="AG36" s="69">
        <f>AF36+20</f>
        <v>1524.32</v>
      </c>
      <c r="AH36" s="66">
        <f>AG36+(AG36*0.2)</f>
        <v>1829.184</v>
      </c>
      <c r="AI36" s="89">
        <f>SUM(AF36:AH36)</f>
        <v>4857.8239999999996</v>
      </c>
      <c r="AJ36" s="69">
        <f>AH36</f>
        <v>1829.184</v>
      </c>
      <c r="AK36" s="69">
        <f>AJ36+20</f>
        <v>1849.184</v>
      </c>
      <c r="AL36" s="66">
        <f>AK36+(AK36*0.2)</f>
        <v>2219.0208000000002</v>
      </c>
      <c r="AM36" s="89">
        <f t="shared" ref="AM36" si="112">SUM(AJ36:AL36)</f>
        <v>5897.3888000000006</v>
      </c>
      <c r="AN36" s="69">
        <f>AL36</f>
        <v>2219.0208000000002</v>
      </c>
      <c r="AO36" s="69">
        <f>AN36+10</f>
        <v>2229.0208000000002</v>
      </c>
      <c r="AP36" s="66">
        <f>AO36+(AO36*0.08)</f>
        <v>2407.3424640000003</v>
      </c>
      <c r="AQ36" s="89">
        <f>SUM(AN36:AP36)</f>
        <v>6855.3840640000008</v>
      </c>
      <c r="AR36" s="90">
        <f>SUM(AQ36,AM36,AI36,AE36)</f>
        <v>21602.116864000003</v>
      </c>
    </row>
    <row r="37" spans="1:44" ht="18" outlineLevel="1" thickBot="1">
      <c r="A37" s="16" t="s">
        <v>86</v>
      </c>
      <c r="B37" s="20" t="s">
        <v>87</v>
      </c>
      <c r="C37" s="12">
        <v>4212225</v>
      </c>
      <c r="D37" s="10"/>
      <c r="E37" s="14" t="s">
        <v>77</v>
      </c>
      <c r="F37" s="71"/>
      <c r="G37" s="76"/>
      <c r="H37" s="73">
        <v>1000</v>
      </c>
      <c r="I37" s="91">
        <f t="shared" ref="I37:I38" si="113">SUM(F37:H37)</f>
        <v>1000</v>
      </c>
      <c r="J37" s="92">
        <f t="shared" si="105"/>
        <v>1000</v>
      </c>
      <c r="K37" s="80">
        <v>500</v>
      </c>
      <c r="L37" s="80">
        <v>500</v>
      </c>
      <c r="M37" s="80">
        <v>500</v>
      </c>
      <c r="N37" s="91">
        <f t="shared" si="106"/>
        <v>1500</v>
      </c>
      <c r="O37" s="80">
        <v>500</v>
      </c>
      <c r="P37" s="80">
        <v>500</v>
      </c>
      <c r="Q37" s="80">
        <f>P37+10</f>
        <v>510</v>
      </c>
      <c r="R37" s="91">
        <f t="shared" ref="R36:R39" si="114">SUM(O37:Q37)</f>
        <v>1510</v>
      </c>
      <c r="S37" s="80">
        <f>Q37</f>
        <v>510</v>
      </c>
      <c r="T37" s="80">
        <f t="shared" ref="T37:U37" si="115">S37+10</f>
        <v>520</v>
      </c>
      <c r="U37" s="80">
        <f t="shared" si="115"/>
        <v>530</v>
      </c>
      <c r="V37" s="91">
        <f t="shared" ref="V36:V39" si="116">SUM(S37:U37)</f>
        <v>1560</v>
      </c>
      <c r="W37" s="80">
        <f>U37</f>
        <v>530</v>
      </c>
      <c r="X37" s="80">
        <f t="shared" ref="X37:Y37" si="117">W37+10</f>
        <v>540</v>
      </c>
      <c r="Y37" s="80">
        <f t="shared" si="117"/>
        <v>550</v>
      </c>
      <c r="Z37" s="91">
        <f t="shared" ref="Z36:Z39" si="118">SUM(W37:Y37)</f>
        <v>1620</v>
      </c>
      <c r="AA37" s="92">
        <f t="shared" ref="AA36:AA39" si="119">SUM(Z37,V37,R37,N37)</f>
        <v>6190</v>
      </c>
      <c r="AB37" s="80">
        <v>500</v>
      </c>
      <c r="AC37" s="80">
        <v>500</v>
      </c>
      <c r="AD37" s="80">
        <v>500</v>
      </c>
      <c r="AE37" s="91">
        <f t="shared" ref="AE36:AE39" si="120">SUM(AB37:AD37)</f>
        <v>1500</v>
      </c>
      <c r="AF37" s="80">
        <v>500</v>
      </c>
      <c r="AG37" s="80">
        <v>500</v>
      </c>
      <c r="AH37" s="80">
        <v>500</v>
      </c>
      <c r="AI37" s="91">
        <f t="shared" ref="AI36:AI39" si="121">SUM(AF37:AH37)</f>
        <v>1500</v>
      </c>
      <c r="AJ37" s="80">
        <v>500</v>
      </c>
      <c r="AK37" s="80">
        <v>500</v>
      </c>
      <c r="AL37" s="80">
        <v>500</v>
      </c>
      <c r="AM37" s="91">
        <f t="shared" ref="AM36:AM39" si="122">SUM(AJ37:AL37)</f>
        <v>1500</v>
      </c>
      <c r="AN37" s="80">
        <v>500</v>
      </c>
      <c r="AO37" s="80">
        <v>500</v>
      </c>
      <c r="AP37" s="80">
        <v>500</v>
      </c>
      <c r="AQ37" s="91">
        <f t="shared" ref="AQ37:AQ38" si="123">SUM(AN37:AP37)</f>
        <v>1500</v>
      </c>
      <c r="AR37" s="92">
        <f t="shared" ref="AR37:AR38" si="124">SUM(AQ37,AM37,AI37,AE37)</f>
        <v>6000</v>
      </c>
    </row>
    <row r="38" spans="1:44" ht="17" outlineLevel="1">
      <c r="A38" s="16" t="s">
        <v>88</v>
      </c>
      <c r="B38" s="20" t="s">
        <v>89</v>
      </c>
      <c r="C38" s="12">
        <v>4212245</v>
      </c>
      <c r="D38" s="10"/>
      <c r="E38" s="14" t="s">
        <v>77</v>
      </c>
      <c r="F38" s="71"/>
      <c r="G38" s="76"/>
      <c r="H38" s="73"/>
      <c r="I38" s="91">
        <f t="shared" si="113"/>
        <v>0</v>
      </c>
      <c r="J38" s="92">
        <f t="shared" si="105"/>
        <v>0</v>
      </c>
      <c r="K38" s="76"/>
      <c r="L38" s="76"/>
      <c r="M38" s="73"/>
      <c r="N38" s="91">
        <f t="shared" si="106"/>
        <v>0</v>
      </c>
      <c r="O38" s="76"/>
      <c r="P38" s="76"/>
      <c r="Q38" s="73"/>
      <c r="R38" s="91">
        <f t="shared" si="114"/>
        <v>0</v>
      </c>
      <c r="S38" s="76"/>
      <c r="T38" s="76"/>
      <c r="U38" s="73"/>
      <c r="V38" s="91">
        <f t="shared" si="116"/>
        <v>0</v>
      </c>
      <c r="W38" s="76"/>
      <c r="X38" s="76"/>
      <c r="Y38" s="73"/>
      <c r="Z38" s="91">
        <f t="shared" si="118"/>
        <v>0</v>
      </c>
      <c r="AA38" s="92">
        <f t="shared" si="119"/>
        <v>0</v>
      </c>
      <c r="AB38" s="71"/>
      <c r="AC38" s="76"/>
      <c r="AD38" s="73"/>
      <c r="AE38" s="91">
        <f t="shared" si="120"/>
        <v>0</v>
      </c>
      <c r="AF38" s="76"/>
      <c r="AG38" s="76"/>
      <c r="AH38" s="73"/>
      <c r="AI38" s="91">
        <f t="shared" si="121"/>
        <v>0</v>
      </c>
      <c r="AJ38" s="76"/>
      <c r="AK38" s="76"/>
      <c r="AL38" s="73"/>
      <c r="AM38" s="91">
        <f t="shared" si="122"/>
        <v>0</v>
      </c>
      <c r="AN38" s="76"/>
      <c r="AO38" s="76"/>
      <c r="AP38" s="73"/>
      <c r="AQ38" s="91">
        <f t="shared" si="123"/>
        <v>0</v>
      </c>
      <c r="AR38" s="92">
        <f t="shared" si="124"/>
        <v>0</v>
      </c>
    </row>
    <row r="39" spans="1:44" ht="18" outlineLevel="1" thickBot="1">
      <c r="A39" s="16" t="s">
        <v>90</v>
      </c>
      <c r="B39" s="21" t="s">
        <v>91</v>
      </c>
      <c r="C39" s="19">
        <v>4212705</v>
      </c>
      <c r="D39" s="10"/>
      <c r="E39" s="14" t="s">
        <v>77</v>
      </c>
      <c r="F39" s="78"/>
      <c r="G39" s="79"/>
      <c r="H39" s="80">
        <v>1000</v>
      </c>
      <c r="I39" s="93">
        <f t="shared" si="104"/>
        <v>1000</v>
      </c>
      <c r="J39" s="94">
        <f t="shared" si="105"/>
        <v>1000</v>
      </c>
      <c r="K39" s="80">
        <v>500</v>
      </c>
      <c r="L39" s="80">
        <v>500</v>
      </c>
      <c r="M39" s="80">
        <v>500</v>
      </c>
      <c r="N39" s="93">
        <f t="shared" si="106"/>
        <v>1500</v>
      </c>
      <c r="O39" s="80">
        <f>M39+(N39*0.05)</f>
        <v>575</v>
      </c>
      <c r="P39" s="80">
        <f>O39+(O39*0.05)</f>
        <v>603.75</v>
      </c>
      <c r="Q39" s="80">
        <f>P39+(P39*0.025)</f>
        <v>618.84375</v>
      </c>
      <c r="R39" s="93">
        <f t="shared" si="114"/>
        <v>1797.59375</v>
      </c>
      <c r="S39" s="80">
        <f>Q39+(R39*0.025)</f>
        <v>663.78359375000002</v>
      </c>
      <c r="T39" s="80">
        <f>S39+(S39*0.25)</f>
        <v>829.7294921875</v>
      </c>
      <c r="U39" s="80">
        <f>T39+(T39*0.025)</f>
        <v>850.47272949218745</v>
      </c>
      <c r="V39" s="93">
        <f t="shared" si="116"/>
        <v>2343.9858154296871</v>
      </c>
      <c r="W39" s="80">
        <f>U39+(V39*0.025)</f>
        <v>909.07237487792963</v>
      </c>
      <c r="X39" s="80">
        <f>W39+(W39*0.025)</f>
        <v>931.79918424987784</v>
      </c>
      <c r="Y39" s="80">
        <f>X39+(X39*0.025)</f>
        <v>955.09416385612474</v>
      </c>
      <c r="Z39" s="93">
        <f t="shared" si="118"/>
        <v>2795.9657229839322</v>
      </c>
      <c r="AA39" s="94">
        <f t="shared" si="119"/>
        <v>8437.5452884136193</v>
      </c>
      <c r="AB39" s="80">
        <f>Y39+(Y39*0.025)</f>
        <v>978.97151795252785</v>
      </c>
      <c r="AC39" s="80">
        <f>AB39+(AB39*0.025)</f>
        <v>1003.445805901341</v>
      </c>
      <c r="AD39" s="80">
        <f>AC39+(AC39*0.025)</f>
        <v>1028.5319510488746</v>
      </c>
      <c r="AE39" s="93">
        <f t="shared" si="120"/>
        <v>3010.9492749027431</v>
      </c>
      <c r="AF39" s="80">
        <f>AD39+(AE39*0.025)</f>
        <v>1103.8056829214431</v>
      </c>
      <c r="AG39" s="80">
        <f>AF39+(AF39*0.025)</f>
        <v>1131.4008249944793</v>
      </c>
      <c r="AH39" s="80">
        <f>AG39+(AG39*0.025)</f>
        <v>1159.6858456193413</v>
      </c>
      <c r="AI39" s="93">
        <f t="shared" si="121"/>
        <v>3394.8923535352637</v>
      </c>
      <c r="AJ39" s="80">
        <f>AH39+(AI39*0.02)</f>
        <v>1227.5836926900465</v>
      </c>
      <c r="AK39" s="80">
        <f>AJ39+(AJ39*0.02)</f>
        <v>1252.1353665438473</v>
      </c>
      <c r="AL39" s="80">
        <f>AK39+(AK39*0.01)</f>
        <v>1264.6567202092858</v>
      </c>
      <c r="AM39" s="93">
        <f t="shared" si="122"/>
        <v>3744.3757794431795</v>
      </c>
      <c r="AN39" s="80">
        <f>AL39</f>
        <v>1264.6567202092858</v>
      </c>
      <c r="AO39" s="80">
        <f>AN39</f>
        <v>1264.6567202092858</v>
      </c>
      <c r="AP39" s="80">
        <f>AO39+(AO39*0.025)</f>
        <v>1296.273138214518</v>
      </c>
      <c r="AQ39" s="93">
        <f t="shared" ref="AQ39" si="125">SUM(AN39:AP39)</f>
        <v>3825.5865786330896</v>
      </c>
      <c r="AR39" s="94">
        <f t="shared" ref="AR39" si="126">SUM(AQ39,AM39,AI39,AE39)</f>
        <v>13975.803986514276</v>
      </c>
    </row>
    <row r="40" spans="1:44" ht="16" thickBot="1">
      <c r="A40" s="102" t="s">
        <v>56</v>
      </c>
      <c r="B40" s="103"/>
      <c r="C40" s="103"/>
      <c r="D40" s="103"/>
      <c r="E40" s="104"/>
      <c r="F40" s="83">
        <f>SUM(F36:F39)</f>
        <v>0</v>
      </c>
      <c r="G40" s="83">
        <f t="shared" ref="G40" si="127">SUM(G36:G39)</f>
        <v>0</v>
      </c>
      <c r="H40" s="83">
        <f t="shared" ref="H40" si="128">SUM(H36:H39)</f>
        <v>2000</v>
      </c>
      <c r="I40" s="84">
        <f>SUM(I36:I39)</f>
        <v>2000</v>
      </c>
      <c r="J40" s="85">
        <f>SUM(J36:J39)</f>
        <v>2000</v>
      </c>
      <c r="K40" s="83">
        <f>SUM(K36:K39)</f>
        <v>1000</v>
      </c>
      <c r="L40" s="83">
        <f t="shared" ref="L40" si="129">SUM(L36:L39)</f>
        <v>1300</v>
      </c>
      <c r="M40" s="83">
        <f t="shared" ref="M40" si="130">SUM(M36:M39)</f>
        <v>1500</v>
      </c>
      <c r="N40" s="86">
        <f>SUM(N36:N39)</f>
        <v>3800</v>
      </c>
      <c r="O40" s="83">
        <f>SUM(O36:O39)</f>
        <v>1575</v>
      </c>
      <c r="P40" s="83">
        <f t="shared" ref="P40" si="131">SUM(P36:P39)</f>
        <v>1703.75</v>
      </c>
      <c r="Q40" s="83">
        <f t="shared" ref="Q40" si="132">SUM(Q36:Q39)</f>
        <v>1848.84375</v>
      </c>
      <c r="R40" s="86">
        <f>SUM(R36:R39)</f>
        <v>5127.59375</v>
      </c>
      <c r="S40" s="83">
        <f>SUM(S36:S39)</f>
        <v>1993.7835937499999</v>
      </c>
      <c r="T40" s="83">
        <f t="shared" ref="T40" si="133">SUM(T36:T39)</f>
        <v>2189.7294921875</v>
      </c>
      <c r="U40" s="83">
        <f t="shared" ref="U40" si="134">SUM(U36:U39)</f>
        <v>2388.4727294921877</v>
      </c>
      <c r="V40" s="86">
        <f>SUM(V36:V39)</f>
        <v>6571.9858154296871</v>
      </c>
      <c r="W40" s="83">
        <f>SUM(W36:W39)</f>
        <v>2447.0723748779296</v>
      </c>
      <c r="X40" s="83">
        <f t="shared" ref="X40" si="135">SUM(X36:X39)</f>
        <v>2499.7991842498777</v>
      </c>
      <c r="Y40" s="83">
        <f t="shared" ref="Y40" si="136">SUM(Y36:Y39)</f>
        <v>2738.6941638561248</v>
      </c>
      <c r="Z40" s="86">
        <f>SUM(Z36:Z39)</f>
        <v>7685.5657229839326</v>
      </c>
      <c r="AA40" s="87">
        <f>SUM(AA36:AA39)</f>
        <v>23185.14528841362</v>
      </c>
      <c r="AB40" s="83">
        <f>SUM(AB36:AB39)</f>
        <v>2712.5715179525278</v>
      </c>
      <c r="AC40" s="83">
        <f t="shared" ref="AC40" si="137">SUM(AC36:AC39)</f>
        <v>2757.0458059013408</v>
      </c>
      <c r="AD40" s="83">
        <f t="shared" ref="AD40" si="138">SUM(AD36:AD39)</f>
        <v>3032.8519510488745</v>
      </c>
      <c r="AE40" s="86">
        <f>SUM(AE36:AE39)</f>
        <v>8502.4692749027417</v>
      </c>
      <c r="AF40" s="83">
        <f>SUM(AF36:AF39)</f>
        <v>3108.1256829214431</v>
      </c>
      <c r="AG40" s="83">
        <f t="shared" ref="AG40" si="139">SUM(AG36:AG39)</f>
        <v>3155.7208249944792</v>
      </c>
      <c r="AH40" s="83">
        <f t="shared" ref="AH40" si="140">SUM(AH36:AH39)</f>
        <v>3488.8698456193415</v>
      </c>
      <c r="AI40" s="86">
        <f>SUM(AI36:AI39)</f>
        <v>9752.7163535352629</v>
      </c>
      <c r="AJ40" s="83">
        <f>SUM(AJ36:AJ39)</f>
        <v>3556.7676926900467</v>
      </c>
      <c r="AK40" s="83">
        <f t="shared" ref="AK40" si="141">SUM(AK36:AK39)</f>
        <v>3601.3193665438475</v>
      </c>
      <c r="AL40" s="83">
        <f t="shared" ref="AL40" si="142">SUM(AL36:AL39)</f>
        <v>3983.6775202092858</v>
      </c>
      <c r="AM40" s="86">
        <f>SUM(AM36:AM39)</f>
        <v>11141.764579443181</v>
      </c>
      <c r="AN40" s="83">
        <f>SUM(AN36:AN39)</f>
        <v>3983.6775202092858</v>
      </c>
      <c r="AO40" s="83">
        <f t="shared" ref="AO40" si="143">SUM(AO36:AO39)</f>
        <v>3993.6775202092858</v>
      </c>
      <c r="AP40" s="83">
        <f t="shared" ref="AP40" si="144">SUM(AP36:AP39)</f>
        <v>4203.6156022145187</v>
      </c>
      <c r="AQ40" s="86">
        <f>SUM(AQ36:AQ39)</f>
        <v>12180.970642633092</v>
      </c>
      <c r="AR40" s="87">
        <f>SUM(AR36:AR39)</f>
        <v>41577.920850514281</v>
      </c>
    </row>
    <row r="41" spans="1:44" ht="16" thickBot="1">
      <c r="A41" s="40"/>
      <c r="B41" s="40"/>
      <c r="C41" s="40"/>
      <c r="D41" s="40"/>
      <c r="E41" s="49"/>
      <c r="F41" s="49"/>
      <c r="G41" s="49"/>
      <c r="H41" s="49"/>
      <c r="I41" s="49"/>
      <c r="J41" s="56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6"/>
      <c r="AB41" s="57"/>
      <c r="AC41" s="58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</row>
    <row r="42" spans="1:44" ht="19" thickBot="1">
      <c r="A42" s="37" t="s">
        <v>92</v>
      </c>
      <c r="B42" s="38"/>
      <c r="C42" s="38"/>
      <c r="D42" s="38"/>
      <c r="E42" s="3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</row>
    <row r="43" spans="1:44" ht="16" outlineLevel="1">
      <c r="A43" s="24" t="s">
        <v>93</v>
      </c>
      <c r="B43" s="25" t="s">
        <v>94</v>
      </c>
      <c r="C43" s="26">
        <v>4218304</v>
      </c>
      <c r="D43" s="6"/>
      <c r="E43" s="14" t="s">
        <v>77</v>
      </c>
      <c r="F43" s="64"/>
      <c r="G43" s="65"/>
      <c r="H43" s="66"/>
      <c r="I43" s="89">
        <f>SUM(F43:H43)</f>
        <v>0</v>
      </c>
      <c r="J43" s="90">
        <f>SUM(I43)</f>
        <v>0</v>
      </c>
      <c r="K43" s="69"/>
      <c r="L43" s="65"/>
      <c r="M43" s="66"/>
      <c r="N43" s="89">
        <f>SUM(K43:M43)</f>
        <v>0</v>
      </c>
      <c r="O43" s="66"/>
      <c r="P43" s="66"/>
      <c r="Q43" s="66"/>
      <c r="R43" s="89">
        <f>SUM(O43:Q43)</f>
        <v>0</v>
      </c>
      <c r="S43" s="70"/>
      <c r="T43" s="66"/>
      <c r="U43" s="66"/>
      <c r="V43" s="89">
        <f>SUM(S43:U43)</f>
        <v>0</v>
      </c>
      <c r="W43" s="66"/>
      <c r="X43" s="66"/>
      <c r="Y43" s="66"/>
      <c r="Z43" s="89">
        <f>SUM(W43:Y43)</f>
        <v>0</v>
      </c>
      <c r="AA43" s="90">
        <f>SUM(Z43,V43,R43,N43)</f>
        <v>0</v>
      </c>
      <c r="AB43" s="64"/>
      <c r="AC43" s="65"/>
      <c r="AD43" s="66"/>
      <c r="AE43" s="89">
        <f>SUM(AB43:AD43)</f>
        <v>0</v>
      </c>
      <c r="AF43" s="66"/>
      <c r="AG43" s="66"/>
      <c r="AH43" s="66"/>
      <c r="AI43" s="89">
        <f>SUM(AF43:AH43)</f>
        <v>0</v>
      </c>
      <c r="AJ43" s="70"/>
      <c r="AK43" s="66"/>
      <c r="AL43" s="66"/>
      <c r="AM43" s="89">
        <f>SUM(AJ43:AL43)</f>
        <v>0</v>
      </c>
      <c r="AN43" s="66"/>
      <c r="AO43" s="66"/>
      <c r="AP43" s="66"/>
      <c r="AQ43" s="89">
        <f>SUM(AN43:AP43)</f>
        <v>0</v>
      </c>
      <c r="AR43" s="90">
        <f>SUM(AQ43,AM43,AI43,AE43)</f>
        <v>0</v>
      </c>
    </row>
    <row r="44" spans="1:44" ht="16" outlineLevel="1">
      <c r="A44" s="22" t="s">
        <v>95</v>
      </c>
      <c r="B44" s="23" t="s">
        <v>96</v>
      </c>
      <c r="C44" s="10">
        <v>4218303</v>
      </c>
      <c r="D44" s="14"/>
      <c r="E44" s="14" t="s">
        <v>77</v>
      </c>
      <c r="F44" s="71"/>
      <c r="G44" s="72"/>
      <c r="H44" s="73"/>
      <c r="I44" s="91">
        <f t="shared" ref="I44:I78" si="145">SUM(F44:H44)</f>
        <v>0</v>
      </c>
      <c r="J44" s="92">
        <f t="shared" ref="J44:J78" si="146">SUM(I44)</f>
        <v>0</v>
      </c>
      <c r="K44" s="76"/>
      <c r="L44" s="72"/>
      <c r="M44" s="73"/>
      <c r="N44" s="91">
        <f t="shared" ref="N44:N78" si="147">SUM(K44:M44)</f>
        <v>0</v>
      </c>
      <c r="O44" s="73"/>
      <c r="P44" s="73"/>
      <c r="Q44" s="73"/>
      <c r="R44" s="91">
        <f t="shared" ref="R44:R78" si="148">SUM(O44:Q44)</f>
        <v>0</v>
      </c>
      <c r="S44" s="77"/>
      <c r="T44" s="73"/>
      <c r="U44" s="73"/>
      <c r="V44" s="91">
        <f t="shared" ref="V44:V78" si="149">SUM(S44:U44)</f>
        <v>0</v>
      </c>
      <c r="W44" s="73"/>
      <c r="X44" s="73"/>
      <c r="Y44" s="73"/>
      <c r="Z44" s="91">
        <f t="shared" ref="Z44:Z78" si="150">SUM(W44:Y44)</f>
        <v>0</v>
      </c>
      <c r="AA44" s="92">
        <f t="shared" ref="AA44:AA78" si="151">SUM(Z44,V44,R44,N44)</f>
        <v>0</v>
      </c>
      <c r="AB44" s="71"/>
      <c r="AC44" s="72"/>
      <c r="AD44" s="73"/>
      <c r="AE44" s="91">
        <f t="shared" ref="AE44:AE78" si="152">SUM(AB44:AD44)</f>
        <v>0</v>
      </c>
      <c r="AF44" s="73"/>
      <c r="AG44" s="73"/>
      <c r="AH44" s="73"/>
      <c r="AI44" s="91">
        <f t="shared" ref="AI44:AI78" si="153">SUM(AF44:AH44)</f>
        <v>0</v>
      </c>
      <c r="AJ44" s="77"/>
      <c r="AK44" s="73"/>
      <c r="AL44" s="73"/>
      <c r="AM44" s="91">
        <f t="shared" ref="AM44:AM78" si="154">SUM(AJ44:AL44)</f>
        <v>0</v>
      </c>
      <c r="AN44" s="73"/>
      <c r="AO44" s="73"/>
      <c r="AP44" s="73"/>
      <c r="AQ44" s="91">
        <f t="shared" ref="AQ44:AQ78" si="155">SUM(AN44:AP44)</f>
        <v>0</v>
      </c>
      <c r="AR44" s="92">
        <f t="shared" ref="AR44:AR78" si="156">SUM(AQ44,AM44,AI44,AE44)</f>
        <v>0</v>
      </c>
    </row>
    <row r="45" spans="1:44" ht="16" outlineLevel="1">
      <c r="A45" s="22" t="s">
        <v>97</v>
      </c>
      <c r="B45" s="23" t="s">
        <v>98</v>
      </c>
      <c r="C45" s="10">
        <v>4218310</v>
      </c>
      <c r="D45" s="14"/>
      <c r="E45" s="14" t="s">
        <v>77</v>
      </c>
      <c r="F45" s="71"/>
      <c r="G45" s="72"/>
      <c r="H45" s="73"/>
      <c r="I45" s="91">
        <f t="shared" si="145"/>
        <v>0</v>
      </c>
      <c r="J45" s="92">
        <f t="shared" si="146"/>
        <v>0</v>
      </c>
      <c r="K45" s="76"/>
      <c r="L45" s="72"/>
      <c r="M45" s="73"/>
      <c r="N45" s="91">
        <f t="shared" si="147"/>
        <v>0</v>
      </c>
      <c r="O45" s="73"/>
      <c r="P45" s="73"/>
      <c r="Q45" s="73"/>
      <c r="R45" s="91">
        <f t="shared" si="148"/>
        <v>0</v>
      </c>
      <c r="S45" s="77"/>
      <c r="T45" s="73"/>
      <c r="U45" s="73"/>
      <c r="V45" s="91">
        <f t="shared" si="149"/>
        <v>0</v>
      </c>
      <c r="W45" s="73"/>
      <c r="X45" s="73"/>
      <c r="Y45" s="73"/>
      <c r="Z45" s="91">
        <f t="shared" si="150"/>
        <v>0</v>
      </c>
      <c r="AA45" s="92">
        <f t="shared" si="151"/>
        <v>0</v>
      </c>
      <c r="AB45" s="71"/>
      <c r="AC45" s="72"/>
      <c r="AD45" s="73"/>
      <c r="AE45" s="91">
        <f t="shared" si="152"/>
        <v>0</v>
      </c>
      <c r="AF45" s="73"/>
      <c r="AG45" s="73"/>
      <c r="AH45" s="73"/>
      <c r="AI45" s="91">
        <f t="shared" si="153"/>
        <v>0</v>
      </c>
      <c r="AJ45" s="77"/>
      <c r="AK45" s="73"/>
      <c r="AL45" s="73"/>
      <c r="AM45" s="91">
        <f t="shared" si="154"/>
        <v>0</v>
      </c>
      <c r="AN45" s="73"/>
      <c r="AO45" s="73"/>
      <c r="AP45" s="73"/>
      <c r="AQ45" s="91">
        <f t="shared" si="155"/>
        <v>0</v>
      </c>
      <c r="AR45" s="92">
        <f t="shared" si="156"/>
        <v>0</v>
      </c>
    </row>
    <row r="46" spans="1:44" ht="16" outlineLevel="1">
      <c r="A46" s="22" t="s">
        <v>99</v>
      </c>
      <c r="B46" s="23" t="s">
        <v>94</v>
      </c>
      <c r="C46" s="10">
        <v>4218314</v>
      </c>
      <c r="D46" s="14"/>
      <c r="E46" s="14" t="s">
        <v>77</v>
      </c>
      <c r="F46" s="71"/>
      <c r="G46" s="72"/>
      <c r="H46" s="73"/>
      <c r="I46" s="91">
        <f t="shared" si="145"/>
        <v>0</v>
      </c>
      <c r="J46" s="92">
        <f t="shared" si="146"/>
        <v>0</v>
      </c>
      <c r="K46" s="76"/>
      <c r="L46" s="72"/>
      <c r="M46" s="73"/>
      <c r="N46" s="91">
        <f t="shared" si="147"/>
        <v>0</v>
      </c>
      <c r="O46" s="73"/>
      <c r="P46" s="73"/>
      <c r="Q46" s="73"/>
      <c r="R46" s="91">
        <f t="shared" si="148"/>
        <v>0</v>
      </c>
      <c r="S46" s="77"/>
      <c r="T46" s="73"/>
      <c r="U46" s="73"/>
      <c r="V46" s="91">
        <f t="shared" si="149"/>
        <v>0</v>
      </c>
      <c r="W46" s="73"/>
      <c r="X46" s="73"/>
      <c r="Y46" s="73"/>
      <c r="Z46" s="91">
        <f t="shared" si="150"/>
        <v>0</v>
      </c>
      <c r="AA46" s="92">
        <f t="shared" si="151"/>
        <v>0</v>
      </c>
      <c r="AB46" s="71"/>
      <c r="AC46" s="72"/>
      <c r="AD46" s="73"/>
      <c r="AE46" s="91">
        <f t="shared" si="152"/>
        <v>0</v>
      </c>
      <c r="AF46" s="73"/>
      <c r="AG46" s="73"/>
      <c r="AH46" s="73"/>
      <c r="AI46" s="91">
        <f t="shared" si="153"/>
        <v>0</v>
      </c>
      <c r="AJ46" s="77"/>
      <c r="AK46" s="73"/>
      <c r="AL46" s="73"/>
      <c r="AM46" s="91">
        <f t="shared" si="154"/>
        <v>0</v>
      </c>
      <c r="AN46" s="73"/>
      <c r="AO46" s="73"/>
      <c r="AP46" s="73"/>
      <c r="AQ46" s="91">
        <f t="shared" si="155"/>
        <v>0</v>
      </c>
      <c r="AR46" s="92">
        <f t="shared" si="156"/>
        <v>0</v>
      </c>
    </row>
    <row r="47" spans="1:44" ht="16" outlineLevel="1">
      <c r="A47" s="22" t="s">
        <v>100</v>
      </c>
      <c r="B47" s="23" t="s">
        <v>96</v>
      </c>
      <c r="C47" s="10">
        <v>4218317</v>
      </c>
      <c r="D47" s="14"/>
      <c r="E47" s="14" t="s">
        <v>77</v>
      </c>
      <c r="F47" s="71"/>
      <c r="G47" s="72"/>
      <c r="H47" s="73"/>
      <c r="I47" s="91">
        <f t="shared" si="145"/>
        <v>0</v>
      </c>
      <c r="J47" s="92">
        <f t="shared" si="146"/>
        <v>0</v>
      </c>
      <c r="K47" s="76"/>
      <c r="L47" s="72"/>
      <c r="M47" s="73"/>
      <c r="N47" s="91">
        <f t="shared" si="147"/>
        <v>0</v>
      </c>
      <c r="O47" s="73"/>
      <c r="P47" s="73"/>
      <c r="Q47" s="73"/>
      <c r="R47" s="91">
        <f t="shared" si="148"/>
        <v>0</v>
      </c>
      <c r="S47" s="77"/>
      <c r="T47" s="73"/>
      <c r="U47" s="73"/>
      <c r="V47" s="91">
        <f t="shared" si="149"/>
        <v>0</v>
      </c>
      <c r="W47" s="73"/>
      <c r="X47" s="73"/>
      <c r="Y47" s="73"/>
      <c r="Z47" s="91">
        <f t="shared" si="150"/>
        <v>0</v>
      </c>
      <c r="AA47" s="92">
        <f t="shared" si="151"/>
        <v>0</v>
      </c>
      <c r="AB47" s="71"/>
      <c r="AC47" s="72"/>
      <c r="AD47" s="73"/>
      <c r="AE47" s="91">
        <f t="shared" si="152"/>
        <v>0</v>
      </c>
      <c r="AF47" s="73"/>
      <c r="AG47" s="73"/>
      <c r="AH47" s="73"/>
      <c r="AI47" s="91">
        <f t="shared" si="153"/>
        <v>0</v>
      </c>
      <c r="AJ47" s="77"/>
      <c r="AK47" s="73"/>
      <c r="AL47" s="73"/>
      <c r="AM47" s="91">
        <f t="shared" si="154"/>
        <v>0</v>
      </c>
      <c r="AN47" s="73"/>
      <c r="AO47" s="73"/>
      <c r="AP47" s="73"/>
      <c r="AQ47" s="91">
        <f t="shared" si="155"/>
        <v>0</v>
      </c>
      <c r="AR47" s="92">
        <f t="shared" si="156"/>
        <v>0</v>
      </c>
    </row>
    <row r="48" spans="1:44" ht="16" outlineLevel="1">
      <c r="A48" s="22" t="s">
        <v>101</v>
      </c>
      <c r="B48" s="23" t="s">
        <v>98</v>
      </c>
      <c r="C48" s="10">
        <v>4218320</v>
      </c>
      <c r="D48" s="14"/>
      <c r="E48" s="14" t="s">
        <v>77</v>
      </c>
      <c r="F48" s="71"/>
      <c r="G48" s="72"/>
      <c r="H48" s="73"/>
      <c r="I48" s="91">
        <f t="shared" si="145"/>
        <v>0</v>
      </c>
      <c r="J48" s="92">
        <f t="shared" si="146"/>
        <v>0</v>
      </c>
      <c r="K48" s="76"/>
      <c r="L48" s="72"/>
      <c r="M48" s="73"/>
      <c r="N48" s="91">
        <f t="shared" si="147"/>
        <v>0</v>
      </c>
      <c r="O48" s="73"/>
      <c r="P48" s="73"/>
      <c r="Q48" s="73"/>
      <c r="R48" s="91">
        <f t="shared" si="148"/>
        <v>0</v>
      </c>
      <c r="S48" s="77"/>
      <c r="T48" s="73"/>
      <c r="U48" s="73"/>
      <c r="V48" s="91">
        <f t="shared" si="149"/>
        <v>0</v>
      </c>
      <c r="W48" s="73"/>
      <c r="X48" s="73"/>
      <c r="Y48" s="73"/>
      <c r="Z48" s="91">
        <f t="shared" si="150"/>
        <v>0</v>
      </c>
      <c r="AA48" s="92">
        <f t="shared" si="151"/>
        <v>0</v>
      </c>
      <c r="AB48" s="71"/>
      <c r="AC48" s="72"/>
      <c r="AD48" s="73"/>
      <c r="AE48" s="91">
        <f t="shared" si="152"/>
        <v>0</v>
      </c>
      <c r="AF48" s="73"/>
      <c r="AG48" s="73"/>
      <c r="AH48" s="73"/>
      <c r="AI48" s="91">
        <f t="shared" si="153"/>
        <v>0</v>
      </c>
      <c r="AJ48" s="77"/>
      <c r="AK48" s="73"/>
      <c r="AL48" s="73"/>
      <c r="AM48" s="91">
        <f t="shared" si="154"/>
        <v>0</v>
      </c>
      <c r="AN48" s="73"/>
      <c r="AO48" s="73"/>
      <c r="AP48" s="73"/>
      <c r="AQ48" s="91">
        <f t="shared" si="155"/>
        <v>0</v>
      </c>
      <c r="AR48" s="92">
        <f t="shared" si="156"/>
        <v>0</v>
      </c>
    </row>
    <row r="49" spans="1:44" ht="16" outlineLevel="1">
      <c r="A49" s="22" t="s">
        <v>102</v>
      </c>
      <c r="B49" s="23" t="s">
        <v>103</v>
      </c>
      <c r="C49" s="10">
        <v>4218324</v>
      </c>
      <c r="D49" s="14"/>
      <c r="E49" s="14" t="s">
        <v>77</v>
      </c>
      <c r="F49" s="71"/>
      <c r="G49" s="72"/>
      <c r="H49" s="73"/>
      <c r="I49" s="91">
        <f t="shared" si="145"/>
        <v>0</v>
      </c>
      <c r="J49" s="92">
        <f t="shared" si="146"/>
        <v>0</v>
      </c>
      <c r="K49" s="76"/>
      <c r="L49" s="72"/>
      <c r="M49" s="73"/>
      <c r="N49" s="91">
        <f t="shared" si="147"/>
        <v>0</v>
      </c>
      <c r="O49" s="73"/>
      <c r="P49" s="73"/>
      <c r="Q49" s="73"/>
      <c r="R49" s="91">
        <f t="shared" si="148"/>
        <v>0</v>
      </c>
      <c r="S49" s="77"/>
      <c r="T49" s="73"/>
      <c r="U49" s="73"/>
      <c r="V49" s="91">
        <f t="shared" si="149"/>
        <v>0</v>
      </c>
      <c r="W49" s="73"/>
      <c r="X49" s="73"/>
      <c r="Y49" s="73"/>
      <c r="Z49" s="91">
        <f t="shared" si="150"/>
        <v>0</v>
      </c>
      <c r="AA49" s="92">
        <f t="shared" si="151"/>
        <v>0</v>
      </c>
      <c r="AB49" s="71"/>
      <c r="AC49" s="72"/>
      <c r="AD49" s="73"/>
      <c r="AE49" s="91">
        <f t="shared" si="152"/>
        <v>0</v>
      </c>
      <c r="AF49" s="73"/>
      <c r="AG49" s="73"/>
      <c r="AH49" s="73"/>
      <c r="AI49" s="91">
        <f t="shared" si="153"/>
        <v>0</v>
      </c>
      <c r="AJ49" s="77"/>
      <c r="AK49" s="73"/>
      <c r="AL49" s="73"/>
      <c r="AM49" s="91">
        <f t="shared" si="154"/>
        <v>0</v>
      </c>
      <c r="AN49" s="73"/>
      <c r="AO49" s="73"/>
      <c r="AP49" s="73"/>
      <c r="AQ49" s="91">
        <f t="shared" si="155"/>
        <v>0</v>
      </c>
      <c r="AR49" s="92">
        <f t="shared" si="156"/>
        <v>0</v>
      </c>
    </row>
    <row r="50" spans="1:44" ht="16" outlineLevel="1">
      <c r="A50" s="22" t="s">
        <v>104</v>
      </c>
      <c r="B50" s="23" t="s">
        <v>105</v>
      </c>
      <c r="C50" s="10">
        <v>4218327</v>
      </c>
      <c r="D50" s="14"/>
      <c r="E50" s="14" t="s">
        <v>77</v>
      </c>
      <c r="F50" s="71"/>
      <c r="G50" s="72"/>
      <c r="H50" s="73"/>
      <c r="I50" s="91">
        <f t="shared" si="145"/>
        <v>0</v>
      </c>
      <c r="J50" s="92">
        <f t="shared" si="146"/>
        <v>0</v>
      </c>
      <c r="K50" s="76"/>
      <c r="L50" s="72"/>
      <c r="M50" s="73"/>
      <c r="N50" s="91">
        <f t="shared" si="147"/>
        <v>0</v>
      </c>
      <c r="O50" s="73"/>
      <c r="P50" s="73"/>
      <c r="Q50" s="73"/>
      <c r="R50" s="91">
        <f t="shared" si="148"/>
        <v>0</v>
      </c>
      <c r="S50" s="77"/>
      <c r="T50" s="73"/>
      <c r="U50" s="73"/>
      <c r="V50" s="91">
        <f t="shared" si="149"/>
        <v>0</v>
      </c>
      <c r="W50" s="73"/>
      <c r="X50" s="73"/>
      <c r="Y50" s="73"/>
      <c r="Z50" s="91">
        <f t="shared" si="150"/>
        <v>0</v>
      </c>
      <c r="AA50" s="92">
        <f t="shared" si="151"/>
        <v>0</v>
      </c>
      <c r="AB50" s="71"/>
      <c r="AC50" s="72"/>
      <c r="AD50" s="73"/>
      <c r="AE50" s="91">
        <f t="shared" si="152"/>
        <v>0</v>
      </c>
      <c r="AF50" s="73"/>
      <c r="AG50" s="73"/>
      <c r="AH50" s="73"/>
      <c r="AI50" s="91">
        <f t="shared" si="153"/>
        <v>0</v>
      </c>
      <c r="AJ50" s="77"/>
      <c r="AK50" s="73"/>
      <c r="AL50" s="73"/>
      <c r="AM50" s="91">
        <f t="shared" si="154"/>
        <v>0</v>
      </c>
      <c r="AN50" s="73"/>
      <c r="AO50" s="73"/>
      <c r="AP50" s="73"/>
      <c r="AQ50" s="91">
        <f t="shared" si="155"/>
        <v>0</v>
      </c>
      <c r="AR50" s="92">
        <f t="shared" si="156"/>
        <v>0</v>
      </c>
    </row>
    <row r="51" spans="1:44" ht="16" outlineLevel="1">
      <c r="A51" s="22" t="s">
        <v>106</v>
      </c>
      <c r="B51" s="23" t="s">
        <v>107</v>
      </c>
      <c r="C51" s="10">
        <v>4218330</v>
      </c>
      <c r="D51" s="14"/>
      <c r="E51" s="14" t="s">
        <v>77</v>
      </c>
      <c r="F51" s="71"/>
      <c r="G51" s="72"/>
      <c r="H51" s="73"/>
      <c r="I51" s="91">
        <f t="shared" si="145"/>
        <v>0</v>
      </c>
      <c r="J51" s="92">
        <f t="shared" si="146"/>
        <v>0</v>
      </c>
      <c r="K51" s="76"/>
      <c r="L51" s="72"/>
      <c r="M51" s="73"/>
      <c r="N51" s="91">
        <f t="shared" si="147"/>
        <v>0</v>
      </c>
      <c r="O51" s="73"/>
      <c r="P51" s="73"/>
      <c r="Q51" s="73"/>
      <c r="R51" s="91">
        <f t="shared" si="148"/>
        <v>0</v>
      </c>
      <c r="S51" s="77"/>
      <c r="T51" s="73"/>
      <c r="U51" s="73"/>
      <c r="V51" s="91">
        <f t="shared" si="149"/>
        <v>0</v>
      </c>
      <c r="W51" s="73"/>
      <c r="X51" s="73"/>
      <c r="Y51" s="73"/>
      <c r="Z51" s="91">
        <f t="shared" si="150"/>
        <v>0</v>
      </c>
      <c r="AA51" s="92">
        <f t="shared" si="151"/>
        <v>0</v>
      </c>
      <c r="AB51" s="71"/>
      <c r="AC51" s="72"/>
      <c r="AD51" s="73"/>
      <c r="AE51" s="91">
        <f t="shared" si="152"/>
        <v>0</v>
      </c>
      <c r="AF51" s="73"/>
      <c r="AG51" s="73"/>
      <c r="AH51" s="73"/>
      <c r="AI51" s="91">
        <f t="shared" si="153"/>
        <v>0</v>
      </c>
      <c r="AJ51" s="77"/>
      <c r="AK51" s="73"/>
      <c r="AL51" s="73"/>
      <c r="AM51" s="91">
        <f t="shared" si="154"/>
        <v>0</v>
      </c>
      <c r="AN51" s="73"/>
      <c r="AO51" s="73"/>
      <c r="AP51" s="73"/>
      <c r="AQ51" s="91">
        <f t="shared" si="155"/>
        <v>0</v>
      </c>
      <c r="AR51" s="92">
        <f t="shared" si="156"/>
        <v>0</v>
      </c>
    </row>
    <row r="52" spans="1:44" ht="16" outlineLevel="1">
      <c r="A52" s="22" t="s">
        <v>108</v>
      </c>
      <c r="B52" s="23" t="s">
        <v>103</v>
      </c>
      <c r="C52" s="10">
        <v>4218334</v>
      </c>
      <c r="D52" s="14"/>
      <c r="E52" s="14" t="s">
        <v>77</v>
      </c>
      <c r="F52" s="71"/>
      <c r="G52" s="72"/>
      <c r="H52" s="73"/>
      <c r="I52" s="91">
        <f t="shared" si="145"/>
        <v>0</v>
      </c>
      <c r="J52" s="92">
        <f t="shared" si="146"/>
        <v>0</v>
      </c>
      <c r="K52" s="76"/>
      <c r="L52" s="72"/>
      <c r="M52" s="73"/>
      <c r="N52" s="91">
        <f t="shared" si="147"/>
        <v>0</v>
      </c>
      <c r="O52" s="73"/>
      <c r="P52" s="73"/>
      <c r="Q52" s="73"/>
      <c r="R52" s="91">
        <f t="shared" si="148"/>
        <v>0</v>
      </c>
      <c r="S52" s="77"/>
      <c r="T52" s="73"/>
      <c r="U52" s="73"/>
      <c r="V52" s="91">
        <f t="shared" si="149"/>
        <v>0</v>
      </c>
      <c r="W52" s="73"/>
      <c r="X52" s="73"/>
      <c r="Y52" s="73"/>
      <c r="Z52" s="91">
        <f t="shared" si="150"/>
        <v>0</v>
      </c>
      <c r="AA52" s="92">
        <f t="shared" si="151"/>
        <v>0</v>
      </c>
      <c r="AB52" s="71"/>
      <c r="AC52" s="72"/>
      <c r="AD52" s="73"/>
      <c r="AE52" s="91">
        <f t="shared" si="152"/>
        <v>0</v>
      </c>
      <c r="AF52" s="73"/>
      <c r="AG52" s="73"/>
      <c r="AH52" s="73"/>
      <c r="AI52" s="91">
        <f t="shared" si="153"/>
        <v>0</v>
      </c>
      <c r="AJ52" s="77"/>
      <c r="AK52" s="73"/>
      <c r="AL52" s="73"/>
      <c r="AM52" s="91">
        <f t="shared" si="154"/>
        <v>0</v>
      </c>
      <c r="AN52" s="73"/>
      <c r="AO52" s="73"/>
      <c r="AP52" s="73"/>
      <c r="AQ52" s="91">
        <f t="shared" si="155"/>
        <v>0</v>
      </c>
      <c r="AR52" s="92">
        <f t="shared" si="156"/>
        <v>0</v>
      </c>
    </row>
    <row r="53" spans="1:44" ht="16" outlineLevel="1">
      <c r="A53" s="22" t="s">
        <v>109</v>
      </c>
      <c r="B53" s="23" t="s">
        <v>105</v>
      </c>
      <c r="C53" s="10">
        <v>4218337</v>
      </c>
      <c r="D53" s="14"/>
      <c r="E53" s="14" t="s">
        <v>77</v>
      </c>
      <c r="F53" s="71"/>
      <c r="G53" s="72"/>
      <c r="H53" s="73"/>
      <c r="I53" s="91">
        <f t="shared" si="145"/>
        <v>0</v>
      </c>
      <c r="J53" s="92">
        <f t="shared" si="146"/>
        <v>0</v>
      </c>
      <c r="K53" s="76"/>
      <c r="L53" s="72"/>
      <c r="M53" s="73"/>
      <c r="N53" s="91">
        <f t="shared" si="147"/>
        <v>0</v>
      </c>
      <c r="O53" s="73"/>
      <c r="P53" s="73"/>
      <c r="Q53" s="73"/>
      <c r="R53" s="91">
        <f t="shared" si="148"/>
        <v>0</v>
      </c>
      <c r="S53" s="77"/>
      <c r="T53" s="73"/>
      <c r="U53" s="73"/>
      <c r="V53" s="91">
        <f t="shared" si="149"/>
        <v>0</v>
      </c>
      <c r="W53" s="73"/>
      <c r="X53" s="73"/>
      <c r="Y53" s="73"/>
      <c r="Z53" s="91">
        <f t="shared" si="150"/>
        <v>0</v>
      </c>
      <c r="AA53" s="92">
        <f t="shared" si="151"/>
        <v>0</v>
      </c>
      <c r="AB53" s="71"/>
      <c r="AC53" s="72"/>
      <c r="AD53" s="73"/>
      <c r="AE53" s="91">
        <f t="shared" si="152"/>
        <v>0</v>
      </c>
      <c r="AF53" s="73"/>
      <c r="AG53" s="73"/>
      <c r="AH53" s="73"/>
      <c r="AI53" s="91">
        <f t="shared" si="153"/>
        <v>0</v>
      </c>
      <c r="AJ53" s="77"/>
      <c r="AK53" s="73"/>
      <c r="AL53" s="73"/>
      <c r="AM53" s="91">
        <f t="shared" si="154"/>
        <v>0</v>
      </c>
      <c r="AN53" s="73"/>
      <c r="AO53" s="73"/>
      <c r="AP53" s="73"/>
      <c r="AQ53" s="91">
        <f t="shared" si="155"/>
        <v>0</v>
      </c>
      <c r="AR53" s="92">
        <f t="shared" si="156"/>
        <v>0</v>
      </c>
    </row>
    <row r="54" spans="1:44" ht="16" outlineLevel="1">
      <c r="A54" s="22" t="s">
        <v>110</v>
      </c>
      <c r="B54" s="23" t="s">
        <v>111</v>
      </c>
      <c r="C54" s="10">
        <v>4218340</v>
      </c>
      <c r="D54" s="14"/>
      <c r="E54" s="14" t="s">
        <v>77</v>
      </c>
      <c r="F54" s="71"/>
      <c r="G54" s="72"/>
      <c r="H54" s="73">
        <v>1500</v>
      </c>
      <c r="I54" s="91">
        <f t="shared" si="145"/>
        <v>1500</v>
      </c>
      <c r="J54" s="92">
        <f t="shared" si="146"/>
        <v>1500</v>
      </c>
      <c r="K54" s="76">
        <v>1500</v>
      </c>
      <c r="L54" s="72">
        <v>1500</v>
      </c>
      <c r="M54" s="73">
        <f>L54+(L54*0.25)</f>
        <v>1875</v>
      </c>
      <c r="N54" s="91">
        <f t="shared" si="147"/>
        <v>4875</v>
      </c>
      <c r="O54" s="73">
        <f>M54</f>
        <v>1875</v>
      </c>
      <c r="P54" s="73">
        <f>O54</f>
        <v>1875</v>
      </c>
      <c r="Q54" s="73">
        <f>P54+(P54*0.02)</f>
        <v>1912.5</v>
      </c>
      <c r="R54" s="91">
        <f t="shared" si="148"/>
        <v>5662.5</v>
      </c>
      <c r="S54" s="77">
        <f>Q54</f>
        <v>1912.5</v>
      </c>
      <c r="T54" s="73">
        <f>S54</f>
        <v>1912.5</v>
      </c>
      <c r="U54" s="73">
        <f>T54+(T54*0.12)</f>
        <v>2142</v>
      </c>
      <c r="V54" s="91">
        <f t="shared" si="149"/>
        <v>5967</v>
      </c>
      <c r="W54" s="73">
        <f>U54</f>
        <v>2142</v>
      </c>
      <c r="X54" s="73">
        <f>W54</f>
        <v>2142</v>
      </c>
      <c r="Y54" s="73">
        <f>X54+(X54*0.12)</f>
        <v>2399.04</v>
      </c>
      <c r="Z54" s="91">
        <f t="shared" si="150"/>
        <v>6683.04</v>
      </c>
      <c r="AA54" s="92">
        <f t="shared" si="151"/>
        <v>23187.54</v>
      </c>
      <c r="AB54" s="71">
        <f>Y54</f>
        <v>2399.04</v>
      </c>
      <c r="AC54" s="72">
        <f>AB54</f>
        <v>2399.04</v>
      </c>
      <c r="AD54" s="73">
        <f>AC54+(AC54*0.05)</f>
        <v>2518.9920000000002</v>
      </c>
      <c r="AE54" s="91">
        <f t="shared" si="152"/>
        <v>7317.0720000000001</v>
      </c>
      <c r="AF54" s="73">
        <f>AD54</f>
        <v>2518.9920000000002</v>
      </c>
      <c r="AG54" s="73">
        <f>AF54</f>
        <v>2518.9920000000002</v>
      </c>
      <c r="AH54" s="73">
        <f>AG54+(AG54*0.05)</f>
        <v>2644.9416000000001</v>
      </c>
      <c r="AI54" s="91">
        <f>SUM(AF54:AH54)</f>
        <v>7682.9256000000005</v>
      </c>
      <c r="AJ54" s="77">
        <f>AH54</f>
        <v>2644.9416000000001</v>
      </c>
      <c r="AK54" s="73">
        <f>AJ54</f>
        <v>2644.9416000000001</v>
      </c>
      <c r="AL54" s="73">
        <f>AK54+(AK54*0.05)</f>
        <v>2777.1886800000002</v>
      </c>
      <c r="AM54" s="91">
        <f t="shared" si="154"/>
        <v>8067.0718800000004</v>
      </c>
      <c r="AN54" s="73">
        <f>AL54</f>
        <v>2777.1886800000002</v>
      </c>
      <c r="AO54" s="73">
        <f>AN54</f>
        <v>2777.1886800000002</v>
      </c>
      <c r="AP54" s="73">
        <f>AO54+(AO54*0.05)</f>
        <v>2916.0481140000002</v>
      </c>
      <c r="AQ54" s="91">
        <f t="shared" si="155"/>
        <v>8470.4254739999997</v>
      </c>
      <c r="AR54" s="92">
        <f t="shared" si="156"/>
        <v>31537.494954000002</v>
      </c>
    </row>
    <row r="55" spans="1:44" ht="16" outlineLevel="1">
      <c r="A55" s="22" t="s">
        <v>112</v>
      </c>
      <c r="B55" s="23" t="s">
        <v>113</v>
      </c>
      <c r="C55" s="10">
        <v>4218404</v>
      </c>
      <c r="D55" s="14"/>
      <c r="E55" s="14" t="s">
        <v>77</v>
      </c>
      <c r="F55" s="71"/>
      <c r="G55" s="72"/>
      <c r="H55" s="73"/>
      <c r="I55" s="91">
        <f t="shared" si="145"/>
        <v>0</v>
      </c>
      <c r="J55" s="92">
        <f t="shared" si="146"/>
        <v>0</v>
      </c>
      <c r="K55" s="76"/>
      <c r="L55" s="72"/>
      <c r="M55" s="73"/>
      <c r="N55" s="91">
        <f t="shared" si="147"/>
        <v>0</v>
      </c>
      <c r="O55" s="73"/>
      <c r="P55" s="73"/>
      <c r="Q55" s="73"/>
      <c r="R55" s="91">
        <f t="shared" si="148"/>
        <v>0</v>
      </c>
      <c r="S55" s="77"/>
      <c r="T55" s="73"/>
      <c r="U55" s="73"/>
      <c r="V55" s="91">
        <f t="shared" si="149"/>
        <v>0</v>
      </c>
      <c r="W55" s="73"/>
      <c r="X55" s="73"/>
      <c r="Y55" s="73"/>
      <c r="Z55" s="91">
        <f t="shared" si="150"/>
        <v>0</v>
      </c>
      <c r="AA55" s="92">
        <f t="shared" si="151"/>
        <v>0</v>
      </c>
      <c r="AB55" s="71"/>
      <c r="AC55" s="72"/>
      <c r="AD55" s="73"/>
      <c r="AE55" s="91">
        <f t="shared" si="152"/>
        <v>0</v>
      </c>
      <c r="AF55" s="73"/>
      <c r="AG55" s="73"/>
      <c r="AH55" s="73"/>
      <c r="AI55" s="91">
        <f t="shared" si="153"/>
        <v>0</v>
      </c>
      <c r="AJ55" s="77"/>
      <c r="AK55" s="73"/>
      <c r="AL55" s="73"/>
      <c r="AM55" s="91">
        <f t="shared" si="154"/>
        <v>0</v>
      </c>
      <c r="AN55" s="73"/>
      <c r="AO55" s="73"/>
      <c r="AP55" s="73"/>
      <c r="AQ55" s="91">
        <f t="shared" si="155"/>
        <v>0</v>
      </c>
      <c r="AR55" s="92">
        <f t="shared" si="156"/>
        <v>0</v>
      </c>
    </row>
    <row r="56" spans="1:44" ht="16" outlineLevel="1">
      <c r="A56" s="22" t="s">
        <v>114</v>
      </c>
      <c r="B56" s="23" t="s">
        <v>115</v>
      </c>
      <c r="C56" s="10">
        <v>4218407</v>
      </c>
      <c r="D56" s="14"/>
      <c r="E56" s="14" t="s">
        <v>77</v>
      </c>
      <c r="F56" s="71"/>
      <c r="G56" s="72"/>
      <c r="H56" s="73"/>
      <c r="I56" s="91">
        <f t="shared" si="145"/>
        <v>0</v>
      </c>
      <c r="J56" s="92">
        <f t="shared" si="146"/>
        <v>0</v>
      </c>
      <c r="K56" s="76"/>
      <c r="L56" s="72"/>
      <c r="M56" s="73"/>
      <c r="N56" s="91">
        <f t="shared" si="147"/>
        <v>0</v>
      </c>
      <c r="O56" s="73"/>
      <c r="P56" s="73"/>
      <c r="Q56" s="73"/>
      <c r="R56" s="91">
        <f t="shared" si="148"/>
        <v>0</v>
      </c>
      <c r="S56" s="77"/>
      <c r="T56" s="73"/>
      <c r="U56" s="73"/>
      <c r="V56" s="91">
        <f t="shared" si="149"/>
        <v>0</v>
      </c>
      <c r="W56" s="73"/>
      <c r="X56" s="73"/>
      <c r="Y56" s="73"/>
      <c r="Z56" s="91">
        <f t="shared" si="150"/>
        <v>0</v>
      </c>
      <c r="AA56" s="92">
        <f t="shared" si="151"/>
        <v>0</v>
      </c>
      <c r="AB56" s="71"/>
      <c r="AC56" s="72"/>
      <c r="AD56" s="73"/>
      <c r="AE56" s="91">
        <f t="shared" si="152"/>
        <v>0</v>
      </c>
      <c r="AF56" s="73"/>
      <c r="AG56" s="73"/>
      <c r="AH56" s="73"/>
      <c r="AI56" s="91">
        <f t="shared" si="153"/>
        <v>0</v>
      </c>
      <c r="AJ56" s="77"/>
      <c r="AK56" s="73"/>
      <c r="AL56" s="73"/>
      <c r="AM56" s="91">
        <f t="shared" si="154"/>
        <v>0</v>
      </c>
      <c r="AN56" s="73"/>
      <c r="AO56" s="73"/>
      <c r="AP56" s="73"/>
      <c r="AQ56" s="91">
        <f t="shared" si="155"/>
        <v>0</v>
      </c>
      <c r="AR56" s="92">
        <f t="shared" si="156"/>
        <v>0</v>
      </c>
    </row>
    <row r="57" spans="1:44" ht="16" outlineLevel="1">
      <c r="A57" s="22" t="s">
        <v>116</v>
      </c>
      <c r="B57" s="23" t="s">
        <v>117</v>
      </c>
      <c r="C57" s="10">
        <v>4218410</v>
      </c>
      <c r="D57" s="14"/>
      <c r="E57" s="14" t="s">
        <v>77</v>
      </c>
      <c r="F57" s="71"/>
      <c r="G57" s="72"/>
      <c r="H57" s="73"/>
      <c r="I57" s="91">
        <f t="shared" si="145"/>
        <v>0</v>
      </c>
      <c r="J57" s="92">
        <f t="shared" si="146"/>
        <v>0</v>
      </c>
      <c r="K57" s="76"/>
      <c r="L57" s="72"/>
      <c r="M57" s="73"/>
      <c r="N57" s="91">
        <f t="shared" si="147"/>
        <v>0</v>
      </c>
      <c r="O57" s="73"/>
      <c r="P57" s="73"/>
      <c r="Q57" s="73"/>
      <c r="R57" s="91">
        <f t="shared" si="148"/>
        <v>0</v>
      </c>
      <c r="S57" s="77"/>
      <c r="T57" s="73"/>
      <c r="U57" s="73"/>
      <c r="V57" s="91">
        <f t="shared" si="149"/>
        <v>0</v>
      </c>
      <c r="W57" s="73"/>
      <c r="X57" s="73"/>
      <c r="Y57" s="73"/>
      <c r="Z57" s="91">
        <f t="shared" si="150"/>
        <v>0</v>
      </c>
      <c r="AA57" s="92">
        <f t="shared" si="151"/>
        <v>0</v>
      </c>
      <c r="AB57" s="71"/>
      <c r="AC57" s="72"/>
      <c r="AD57" s="73"/>
      <c r="AE57" s="91">
        <f t="shared" si="152"/>
        <v>0</v>
      </c>
      <c r="AF57" s="73"/>
      <c r="AG57" s="73"/>
      <c r="AH57" s="73"/>
      <c r="AI57" s="91">
        <f t="shared" si="153"/>
        <v>0</v>
      </c>
      <c r="AJ57" s="77"/>
      <c r="AK57" s="73"/>
      <c r="AL57" s="73"/>
      <c r="AM57" s="91">
        <f t="shared" si="154"/>
        <v>0</v>
      </c>
      <c r="AN57" s="73"/>
      <c r="AO57" s="73"/>
      <c r="AP57" s="73"/>
      <c r="AQ57" s="91">
        <f t="shared" si="155"/>
        <v>0</v>
      </c>
      <c r="AR57" s="92">
        <f t="shared" si="156"/>
        <v>0</v>
      </c>
    </row>
    <row r="58" spans="1:44" ht="16" outlineLevel="1">
      <c r="A58" s="22" t="s">
        <v>118</v>
      </c>
      <c r="B58" s="23" t="s">
        <v>113</v>
      </c>
      <c r="C58" s="10">
        <v>4218414</v>
      </c>
      <c r="D58" s="14"/>
      <c r="E58" s="14" t="s">
        <v>77</v>
      </c>
      <c r="F58" s="71"/>
      <c r="G58" s="72"/>
      <c r="H58" s="73"/>
      <c r="I58" s="91">
        <f t="shared" si="145"/>
        <v>0</v>
      </c>
      <c r="J58" s="92">
        <f t="shared" si="146"/>
        <v>0</v>
      </c>
      <c r="K58" s="76"/>
      <c r="L58" s="72"/>
      <c r="M58" s="73"/>
      <c r="N58" s="91">
        <f t="shared" si="147"/>
        <v>0</v>
      </c>
      <c r="O58" s="73"/>
      <c r="P58" s="73"/>
      <c r="Q58" s="73"/>
      <c r="R58" s="91">
        <f t="shared" si="148"/>
        <v>0</v>
      </c>
      <c r="S58" s="77"/>
      <c r="T58" s="73"/>
      <c r="U58" s="73"/>
      <c r="V58" s="91">
        <f t="shared" si="149"/>
        <v>0</v>
      </c>
      <c r="W58" s="73"/>
      <c r="X58" s="73"/>
      <c r="Y58" s="73"/>
      <c r="Z58" s="91">
        <f t="shared" si="150"/>
        <v>0</v>
      </c>
      <c r="AA58" s="92">
        <f t="shared" si="151"/>
        <v>0</v>
      </c>
      <c r="AB58" s="71"/>
      <c r="AC58" s="72"/>
      <c r="AD58" s="73"/>
      <c r="AE58" s="91">
        <f t="shared" si="152"/>
        <v>0</v>
      </c>
      <c r="AF58" s="73"/>
      <c r="AG58" s="73"/>
      <c r="AH58" s="73"/>
      <c r="AI58" s="91">
        <f t="shared" si="153"/>
        <v>0</v>
      </c>
      <c r="AJ58" s="77"/>
      <c r="AK58" s="73"/>
      <c r="AL58" s="73"/>
      <c r="AM58" s="91">
        <f t="shared" si="154"/>
        <v>0</v>
      </c>
      <c r="AN58" s="73"/>
      <c r="AO58" s="73"/>
      <c r="AP58" s="73"/>
      <c r="AQ58" s="91">
        <f t="shared" si="155"/>
        <v>0</v>
      </c>
      <c r="AR58" s="92">
        <f t="shared" si="156"/>
        <v>0</v>
      </c>
    </row>
    <row r="59" spans="1:44" ht="16" outlineLevel="1">
      <c r="A59" s="22" t="s">
        <v>119</v>
      </c>
      <c r="B59" s="23" t="s">
        <v>115</v>
      </c>
      <c r="C59" s="10">
        <v>4218417</v>
      </c>
      <c r="D59" s="14"/>
      <c r="E59" s="14" t="s">
        <v>77</v>
      </c>
      <c r="F59" s="71"/>
      <c r="G59" s="72"/>
      <c r="H59" s="73"/>
      <c r="I59" s="91">
        <f t="shared" si="145"/>
        <v>0</v>
      </c>
      <c r="J59" s="92">
        <f t="shared" si="146"/>
        <v>0</v>
      </c>
      <c r="K59" s="76"/>
      <c r="L59" s="72"/>
      <c r="M59" s="73"/>
      <c r="N59" s="91">
        <f t="shared" si="147"/>
        <v>0</v>
      </c>
      <c r="O59" s="73"/>
      <c r="P59" s="73"/>
      <c r="Q59" s="73"/>
      <c r="R59" s="91">
        <f t="shared" si="148"/>
        <v>0</v>
      </c>
      <c r="S59" s="77"/>
      <c r="T59" s="73"/>
      <c r="U59" s="73"/>
      <c r="V59" s="91">
        <f t="shared" si="149"/>
        <v>0</v>
      </c>
      <c r="W59" s="73"/>
      <c r="X59" s="73"/>
      <c r="Y59" s="73"/>
      <c r="Z59" s="91">
        <f t="shared" si="150"/>
        <v>0</v>
      </c>
      <c r="AA59" s="92">
        <f t="shared" si="151"/>
        <v>0</v>
      </c>
      <c r="AB59" s="71"/>
      <c r="AC59" s="72"/>
      <c r="AD59" s="73"/>
      <c r="AE59" s="91">
        <f t="shared" si="152"/>
        <v>0</v>
      </c>
      <c r="AF59" s="73"/>
      <c r="AG59" s="73"/>
      <c r="AH59" s="73"/>
      <c r="AI59" s="91">
        <f t="shared" si="153"/>
        <v>0</v>
      </c>
      <c r="AJ59" s="77"/>
      <c r="AK59" s="73"/>
      <c r="AL59" s="73"/>
      <c r="AM59" s="91">
        <f t="shared" si="154"/>
        <v>0</v>
      </c>
      <c r="AN59" s="73"/>
      <c r="AO59" s="73"/>
      <c r="AP59" s="73"/>
      <c r="AQ59" s="91">
        <f t="shared" si="155"/>
        <v>0</v>
      </c>
      <c r="AR59" s="92">
        <f t="shared" si="156"/>
        <v>0</v>
      </c>
    </row>
    <row r="60" spans="1:44" ht="16" outlineLevel="1">
      <c r="A60" s="22" t="s">
        <v>120</v>
      </c>
      <c r="B60" s="23" t="s">
        <v>117</v>
      </c>
      <c r="C60" s="10">
        <v>4218420</v>
      </c>
      <c r="D60" s="14"/>
      <c r="E60" s="14" t="s">
        <v>77</v>
      </c>
      <c r="F60" s="71"/>
      <c r="G60" s="72"/>
      <c r="H60" s="73"/>
      <c r="I60" s="91">
        <f t="shared" si="145"/>
        <v>0</v>
      </c>
      <c r="J60" s="92">
        <f t="shared" si="146"/>
        <v>0</v>
      </c>
      <c r="K60" s="76"/>
      <c r="L60" s="72"/>
      <c r="M60" s="73"/>
      <c r="N60" s="91">
        <f t="shared" si="147"/>
        <v>0</v>
      </c>
      <c r="O60" s="73"/>
      <c r="P60" s="73"/>
      <c r="Q60" s="73"/>
      <c r="R60" s="91">
        <f t="shared" si="148"/>
        <v>0</v>
      </c>
      <c r="S60" s="77"/>
      <c r="T60" s="73"/>
      <c r="U60" s="73"/>
      <c r="V60" s="91">
        <f t="shared" si="149"/>
        <v>0</v>
      </c>
      <c r="W60" s="73"/>
      <c r="X60" s="73"/>
      <c r="Y60" s="73"/>
      <c r="Z60" s="91">
        <f t="shared" si="150"/>
        <v>0</v>
      </c>
      <c r="AA60" s="92">
        <f t="shared" si="151"/>
        <v>0</v>
      </c>
      <c r="AB60" s="71"/>
      <c r="AC60" s="72"/>
      <c r="AD60" s="73"/>
      <c r="AE60" s="91">
        <f t="shared" si="152"/>
        <v>0</v>
      </c>
      <c r="AF60" s="73"/>
      <c r="AG60" s="73"/>
      <c r="AH60" s="73"/>
      <c r="AI60" s="91">
        <f t="shared" si="153"/>
        <v>0</v>
      </c>
      <c r="AJ60" s="77"/>
      <c r="AK60" s="73"/>
      <c r="AL60" s="73"/>
      <c r="AM60" s="91">
        <f t="shared" si="154"/>
        <v>0</v>
      </c>
      <c r="AN60" s="73"/>
      <c r="AO60" s="73"/>
      <c r="AP60" s="73"/>
      <c r="AQ60" s="91">
        <f t="shared" si="155"/>
        <v>0</v>
      </c>
      <c r="AR60" s="92">
        <f t="shared" si="156"/>
        <v>0</v>
      </c>
    </row>
    <row r="61" spans="1:44" ht="16" outlineLevel="1">
      <c r="A61" s="22" t="s">
        <v>121</v>
      </c>
      <c r="B61" s="23" t="s">
        <v>122</v>
      </c>
      <c r="C61" s="10">
        <v>4218424</v>
      </c>
      <c r="D61" s="14"/>
      <c r="E61" s="14" t="s">
        <v>77</v>
      </c>
      <c r="F61" s="71"/>
      <c r="G61" s="72"/>
      <c r="H61" s="73"/>
      <c r="I61" s="91">
        <f t="shared" si="145"/>
        <v>0</v>
      </c>
      <c r="J61" s="92">
        <f t="shared" si="146"/>
        <v>0</v>
      </c>
      <c r="K61" s="76"/>
      <c r="L61" s="72"/>
      <c r="M61" s="73"/>
      <c r="N61" s="91">
        <f t="shared" si="147"/>
        <v>0</v>
      </c>
      <c r="O61" s="73"/>
      <c r="P61" s="73"/>
      <c r="Q61" s="73"/>
      <c r="R61" s="91">
        <f t="shared" si="148"/>
        <v>0</v>
      </c>
      <c r="S61" s="77"/>
      <c r="T61" s="73"/>
      <c r="U61" s="73"/>
      <c r="V61" s="91">
        <f t="shared" si="149"/>
        <v>0</v>
      </c>
      <c r="W61" s="73"/>
      <c r="X61" s="73"/>
      <c r="Y61" s="73"/>
      <c r="Z61" s="91">
        <f t="shared" si="150"/>
        <v>0</v>
      </c>
      <c r="AA61" s="92">
        <f t="shared" si="151"/>
        <v>0</v>
      </c>
      <c r="AB61" s="71"/>
      <c r="AC61" s="72"/>
      <c r="AD61" s="73"/>
      <c r="AE61" s="91">
        <f t="shared" si="152"/>
        <v>0</v>
      </c>
      <c r="AF61" s="73"/>
      <c r="AG61" s="73"/>
      <c r="AH61" s="73"/>
      <c r="AI61" s="91">
        <f t="shared" si="153"/>
        <v>0</v>
      </c>
      <c r="AJ61" s="77"/>
      <c r="AK61" s="73"/>
      <c r="AL61" s="73"/>
      <c r="AM61" s="91">
        <f t="shared" si="154"/>
        <v>0</v>
      </c>
      <c r="AN61" s="73"/>
      <c r="AO61" s="73"/>
      <c r="AP61" s="73"/>
      <c r="AQ61" s="91">
        <f t="shared" si="155"/>
        <v>0</v>
      </c>
      <c r="AR61" s="92">
        <f t="shared" si="156"/>
        <v>0</v>
      </c>
    </row>
    <row r="62" spans="1:44" ht="16" outlineLevel="1">
      <c r="A62" s="22" t="s">
        <v>123</v>
      </c>
      <c r="B62" s="23" t="s">
        <v>124</v>
      </c>
      <c r="C62" s="10">
        <v>4218427</v>
      </c>
      <c r="D62" s="14"/>
      <c r="E62" s="14" t="s">
        <v>77</v>
      </c>
      <c r="F62" s="71"/>
      <c r="G62" s="72"/>
      <c r="H62" s="73">
        <v>500</v>
      </c>
      <c r="I62" s="91">
        <f t="shared" si="145"/>
        <v>500</v>
      </c>
      <c r="J62" s="92">
        <f t="shared" si="146"/>
        <v>500</v>
      </c>
      <c r="K62" s="76">
        <v>500</v>
      </c>
      <c r="L62" s="72">
        <v>500</v>
      </c>
      <c r="M62" s="73">
        <f>L62+(L62*0.25)</f>
        <v>625</v>
      </c>
      <c r="N62" s="91">
        <f t="shared" si="147"/>
        <v>1625</v>
      </c>
      <c r="O62" s="73">
        <v>1000</v>
      </c>
      <c r="P62" s="73">
        <v>1000</v>
      </c>
      <c r="Q62" s="73">
        <f>P62+(P62*0.2)</f>
        <v>1200</v>
      </c>
      <c r="R62" s="91">
        <f t="shared" si="148"/>
        <v>3200</v>
      </c>
      <c r="S62" s="77">
        <f>Q62</f>
        <v>1200</v>
      </c>
      <c r="T62" s="73">
        <f>S62</f>
        <v>1200</v>
      </c>
      <c r="U62" s="73">
        <f>T62+(T62*0.12)</f>
        <v>1344</v>
      </c>
      <c r="V62" s="91">
        <f t="shared" si="149"/>
        <v>3744</v>
      </c>
      <c r="W62" s="73">
        <f>U62</f>
        <v>1344</v>
      </c>
      <c r="X62" s="73">
        <f>W62</f>
        <v>1344</v>
      </c>
      <c r="Y62" s="73">
        <f>X62+(X62*0.12)</f>
        <v>1505.28</v>
      </c>
      <c r="Z62" s="91">
        <f t="shared" si="150"/>
        <v>4193.28</v>
      </c>
      <c r="AA62" s="92">
        <f t="shared" si="151"/>
        <v>12762.279999999999</v>
      </c>
      <c r="AB62" s="71">
        <f>Y62</f>
        <v>1505.28</v>
      </c>
      <c r="AC62" s="72">
        <f>AB62</f>
        <v>1505.28</v>
      </c>
      <c r="AD62" s="73">
        <f>AC62+(AC62*0.05)</f>
        <v>1580.5439999999999</v>
      </c>
      <c r="AE62" s="91">
        <f t="shared" si="152"/>
        <v>4591.1039999999994</v>
      </c>
      <c r="AF62" s="73">
        <f>AD62</f>
        <v>1580.5439999999999</v>
      </c>
      <c r="AG62" s="73">
        <f>AF62</f>
        <v>1580.5439999999999</v>
      </c>
      <c r="AH62" s="73">
        <f>AG62+(AG62*0.05)</f>
        <v>1659.5711999999999</v>
      </c>
      <c r="AI62" s="91">
        <f>SUM(AF62:AH62)</f>
        <v>4820.6592000000001</v>
      </c>
      <c r="AJ62" s="77">
        <f>AH62</f>
        <v>1659.5711999999999</v>
      </c>
      <c r="AK62" s="73">
        <f>AJ62</f>
        <v>1659.5711999999999</v>
      </c>
      <c r="AL62" s="73">
        <f>AK62+(AK62*0.05)</f>
        <v>1742.5497599999999</v>
      </c>
      <c r="AM62" s="91">
        <f t="shared" si="154"/>
        <v>5061.6921599999996</v>
      </c>
      <c r="AN62" s="73">
        <f>AL62</f>
        <v>1742.5497599999999</v>
      </c>
      <c r="AO62" s="73">
        <f>AN62</f>
        <v>1742.5497599999999</v>
      </c>
      <c r="AP62" s="73">
        <f>AO62+(AO62*0.05)</f>
        <v>1829.677248</v>
      </c>
      <c r="AQ62" s="91">
        <f t="shared" si="155"/>
        <v>5314.7767679999997</v>
      </c>
      <c r="AR62" s="92">
        <f t="shared" si="156"/>
        <v>19788.232127999996</v>
      </c>
    </row>
    <row r="63" spans="1:44" ht="16" outlineLevel="1">
      <c r="A63" s="22" t="s">
        <v>125</v>
      </c>
      <c r="B63" s="23" t="s">
        <v>126</v>
      </c>
      <c r="C63" s="10">
        <v>4218430</v>
      </c>
      <c r="D63" s="14"/>
      <c r="E63" s="14" t="s">
        <v>77</v>
      </c>
      <c r="F63" s="71"/>
      <c r="G63" s="72"/>
      <c r="H63" s="73"/>
      <c r="I63" s="91">
        <f t="shared" si="145"/>
        <v>0</v>
      </c>
      <c r="J63" s="92">
        <f t="shared" si="146"/>
        <v>0</v>
      </c>
      <c r="K63" s="76"/>
      <c r="L63" s="72"/>
      <c r="M63" s="73"/>
      <c r="N63" s="91">
        <f t="shared" si="147"/>
        <v>0</v>
      </c>
      <c r="O63" s="73"/>
      <c r="P63" s="73"/>
      <c r="Q63" s="73"/>
      <c r="R63" s="91">
        <f t="shared" si="148"/>
        <v>0</v>
      </c>
      <c r="S63" s="77"/>
      <c r="T63" s="73"/>
      <c r="U63" s="73"/>
      <c r="V63" s="91">
        <f t="shared" si="149"/>
        <v>0</v>
      </c>
      <c r="W63" s="73"/>
      <c r="X63" s="73"/>
      <c r="Y63" s="73"/>
      <c r="Z63" s="91">
        <f t="shared" si="150"/>
        <v>0</v>
      </c>
      <c r="AA63" s="92">
        <f t="shared" si="151"/>
        <v>0</v>
      </c>
      <c r="AB63" s="71"/>
      <c r="AC63" s="72"/>
      <c r="AD63" s="73"/>
      <c r="AE63" s="91">
        <f t="shared" si="152"/>
        <v>0</v>
      </c>
      <c r="AF63" s="73"/>
      <c r="AG63" s="73"/>
      <c r="AH63" s="73"/>
      <c r="AI63" s="91">
        <f t="shared" si="153"/>
        <v>0</v>
      </c>
      <c r="AJ63" s="77"/>
      <c r="AK63" s="73"/>
      <c r="AL63" s="73"/>
      <c r="AM63" s="91">
        <f t="shared" si="154"/>
        <v>0</v>
      </c>
      <c r="AN63" s="73"/>
      <c r="AO63" s="73"/>
      <c r="AP63" s="73"/>
      <c r="AQ63" s="91">
        <f t="shared" si="155"/>
        <v>0</v>
      </c>
      <c r="AR63" s="92">
        <f t="shared" si="156"/>
        <v>0</v>
      </c>
    </row>
    <row r="64" spans="1:44" ht="16" outlineLevel="1">
      <c r="A64" s="22" t="s">
        <v>127</v>
      </c>
      <c r="B64" s="23" t="s">
        <v>122</v>
      </c>
      <c r="C64" s="10">
        <v>4218434</v>
      </c>
      <c r="D64" s="14"/>
      <c r="E64" s="14" t="s">
        <v>77</v>
      </c>
      <c r="F64" s="71"/>
      <c r="G64" s="72"/>
      <c r="H64" s="73"/>
      <c r="I64" s="91">
        <f t="shared" si="145"/>
        <v>0</v>
      </c>
      <c r="J64" s="92">
        <f t="shared" si="146"/>
        <v>0</v>
      </c>
      <c r="K64" s="76"/>
      <c r="L64" s="72"/>
      <c r="M64" s="73"/>
      <c r="N64" s="91">
        <f t="shared" si="147"/>
        <v>0</v>
      </c>
      <c r="O64" s="73"/>
      <c r="P64" s="73"/>
      <c r="Q64" s="73"/>
      <c r="R64" s="91">
        <f t="shared" si="148"/>
        <v>0</v>
      </c>
      <c r="S64" s="77"/>
      <c r="T64" s="73"/>
      <c r="U64" s="73"/>
      <c r="V64" s="91">
        <f t="shared" si="149"/>
        <v>0</v>
      </c>
      <c r="W64" s="73"/>
      <c r="X64" s="73"/>
      <c r="Y64" s="73"/>
      <c r="Z64" s="91">
        <f t="shared" si="150"/>
        <v>0</v>
      </c>
      <c r="AA64" s="92">
        <f t="shared" si="151"/>
        <v>0</v>
      </c>
      <c r="AB64" s="71"/>
      <c r="AC64" s="72"/>
      <c r="AD64" s="73"/>
      <c r="AE64" s="91">
        <f t="shared" si="152"/>
        <v>0</v>
      </c>
      <c r="AF64" s="73"/>
      <c r="AG64" s="73"/>
      <c r="AH64" s="73"/>
      <c r="AI64" s="91">
        <f t="shared" si="153"/>
        <v>0</v>
      </c>
      <c r="AJ64" s="77"/>
      <c r="AK64" s="73"/>
      <c r="AL64" s="73"/>
      <c r="AM64" s="91">
        <f t="shared" si="154"/>
        <v>0</v>
      </c>
      <c r="AN64" s="73"/>
      <c r="AO64" s="73"/>
      <c r="AP64" s="73"/>
      <c r="AQ64" s="91">
        <f t="shared" si="155"/>
        <v>0</v>
      </c>
      <c r="AR64" s="92">
        <f t="shared" si="156"/>
        <v>0</v>
      </c>
    </row>
    <row r="65" spans="1:44" ht="16" outlineLevel="1">
      <c r="A65" s="22" t="s">
        <v>128</v>
      </c>
      <c r="B65" s="23" t="s">
        <v>129</v>
      </c>
      <c r="C65" s="10">
        <v>4218437</v>
      </c>
      <c r="D65" s="14"/>
      <c r="E65" s="14" t="s">
        <v>77</v>
      </c>
      <c r="F65" s="71"/>
      <c r="G65" s="72"/>
      <c r="H65" s="73"/>
      <c r="I65" s="91">
        <f t="shared" si="145"/>
        <v>0</v>
      </c>
      <c r="J65" s="92">
        <f t="shared" si="146"/>
        <v>0</v>
      </c>
      <c r="K65" s="76"/>
      <c r="L65" s="72"/>
      <c r="M65" s="73"/>
      <c r="N65" s="91">
        <f t="shared" si="147"/>
        <v>0</v>
      </c>
      <c r="O65" s="73"/>
      <c r="P65" s="73"/>
      <c r="Q65" s="73"/>
      <c r="R65" s="91">
        <f t="shared" si="148"/>
        <v>0</v>
      </c>
      <c r="S65" s="77"/>
      <c r="T65" s="73"/>
      <c r="U65" s="73"/>
      <c r="V65" s="91">
        <f t="shared" si="149"/>
        <v>0</v>
      </c>
      <c r="W65" s="73"/>
      <c r="X65" s="73"/>
      <c r="Y65" s="73"/>
      <c r="Z65" s="91">
        <f t="shared" si="150"/>
        <v>0</v>
      </c>
      <c r="AA65" s="92">
        <f t="shared" si="151"/>
        <v>0</v>
      </c>
      <c r="AB65" s="71"/>
      <c r="AC65" s="72"/>
      <c r="AD65" s="73"/>
      <c r="AE65" s="91">
        <f t="shared" si="152"/>
        <v>0</v>
      </c>
      <c r="AF65" s="73"/>
      <c r="AG65" s="73"/>
      <c r="AH65" s="73"/>
      <c r="AI65" s="91">
        <f t="shared" si="153"/>
        <v>0</v>
      </c>
      <c r="AJ65" s="77"/>
      <c r="AK65" s="73"/>
      <c r="AL65" s="73"/>
      <c r="AM65" s="91">
        <f t="shared" si="154"/>
        <v>0</v>
      </c>
      <c r="AN65" s="73"/>
      <c r="AO65" s="73"/>
      <c r="AP65" s="73"/>
      <c r="AQ65" s="91">
        <f t="shared" si="155"/>
        <v>0</v>
      </c>
      <c r="AR65" s="92">
        <f t="shared" si="156"/>
        <v>0</v>
      </c>
    </row>
    <row r="66" spans="1:44" ht="16" outlineLevel="1">
      <c r="A66" s="22" t="s">
        <v>130</v>
      </c>
      <c r="B66" s="23" t="s">
        <v>131</v>
      </c>
      <c r="C66" s="10">
        <v>4218440</v>
      </c>
      <c r="D66" s="14"/>
      <c r="E66" s="14" t="s">
        <v>77</v>
      </c>
      <c r="F66" s="71"/>
      <c r="G66" s="72"/>
      <c r="H66" s="73"/>
      <c r="I66" s="91">
        <f t="shared" si="145"/>
        <v>0</v>
      </c>
      <c r="J66" s="92">
        <f t="shared" si="146"/>
        <v>0</v>
      </c>
      <c r="K66" s="76"/>
      <c r="L66" s="72"/>
      <c r="M66" s="73"/>
      <c r="N66" s="91">
        <f t="shared" si="147"/>
        <v>0</v>
      </c>
      <c r="O66" s="73"/>
      <c r="P66" s="73"/>
      <c r="Q66" s="73"/>
      <c r="R66" s="91">
        <f t="shared" si="148"/>
        <v>0</v>
      </c>
      <c r="S66" s="77"/>
      <c r="T66" s="73"/>
      <c r="U66" s="73"/>
      <c r="V66" s="91">
        <f t="shared" si="149"/>
        <v>0</v>
      </c>
      <c r="W66" s="73"/>
      <c r="X66" s="73"/>
      <c r="Y66" s="73"/>
      <c r="Z66" s="91">
        <f t="shared" si="150"/>
        <v>0</v>
      </c>
      <c r="AA66" s="92">
        <f t="shared" si="151"/>
        <v>0</v>
      </c>
      <c r="AB66" s="71"/>
      <c r="AC66" s="72"/>
      <c r="AD66" s="73"/>
      <c r="AE66" s="91">
        <f t="shared" si="152"/>
        <v>0</v>
      </c>
      <c r="AF66" s="73"/>
      <c r="AG66" s="73"/>
      <c r="AH66" s="73"/>
      <c r="AI66" s="91">
        <f t="shared" si="153"/>
        <v>0</v>
      </c>
      <c r="AJ66" s="77"/>
      <c r="AK66" s="73"/>
      <c r="AL66" s="73"/>
      <c r="AM66" s="91">
        <f t="shared" si="154"/>
        <v>0</v>
      </c>
      <c r="AN66" s="73"/>
      <c r="AO66" s="73"/>
      <c r="AP66" s="73"/>
      <c r="AQ66" s="91">
        <f t="shared" si="155"/>
        <v>0</v>
      </c>
      <c r="AR66" s="92">
        <f t="shared" si="156"/>
        <v>0</v>
      </c>
    </row>
    <row r="67" spans="1:44" ht="16" outlineLevel="1">
      <c r="A67" s="22" t="s">
        <v>132</v>
      </c>
      <c r="B67" s="23" t="s">
        <v>133</v>
      </c>
      <c r="C67" s="10">
        <v>4218404</v>
      </c>
      <c r="D67" s="14"/>
      <c r="E67" s="14" t="s">
        <v>77</v>
      </c>
      <c r="F67" s="71"/>
      <c r="G67" s="72"/>
      <c r="H67" s="73"/>
      <c r="I67" s="91">
        <f t="shared" si="145"/>
        <v>0</v>
      </c>
      <c r="J67" s="92">
        <f t="shared" si="146"/>
        <v>0</v>
      </c>
      <c r="K67" s="76"/>
      <c r="L67" s="72"/>
      <c r="M67" s="73"/>
      <c r="N67" s="91">
        <f t="shared" si="147"/>
        <v>0</v>
      </c>
      <c r="O67" s="73"/>
      <c r="P67" s="73"/>
      <c r="Q67" s="73"/>
      <c r="R67" s="91">
        <f t="shared" si="148"/>
        <v>0</v>
      </c>
      <c r="S67" s="77"/>
      <c r="T67" s="73"/>
      <c r="U67" s="73"/>
      <c r="V67" s="91">
        <f t="shared" si="149"/>
        <v>0</v>
      </c>
      <c r="W67" s="73"/>
      <c r="X67" s="73"/>
      <c r="Y67" s="73"/>
      <c r="Z67" s="91">
        <f t="shared" si="150"/>
        <v>0</v>
      </c>
      <c r="AA67" s="92">
        <f t="shared" si="151"/>
        <v>0</v>
      </c>
      <c r="AB67" s="71"/>
      <c r="AC67" s="72"/>
      <c r="AD67" s="73"/>
      <c r="AE67" s="91">
        <f t="shared" si="152"/>
        <v>0</v>
      </c>
      <c r="AF67" s="73"/>
      <c r="AG67" s="73"/>
      <c r="AH67" s="73"/>
      <c r="AI67" s="91">
        <f t="shared" si="153"/>
        <v>0</v>
      </c>
      <c r="AJ67" s="77"/>
      <c r="AK67" s="73"/>
      <c r="AL67" s="73"/>
      <c r="AM67" s="91">
        <f t="shared" si="154"/>
        <v>0</v>
      </c>
      <c r="AN67" s="73"/>
      <c r="AO67" s="73"/>
      <c r="AP67" s="73"/>
      <c r="AQ67" s="91">
        <f t="shared" si="155"/>
        <v>0</v>
      </c>
      <c r="AR67" s="92">
        <f t="shared" si="156"/>
        <v>0</v>
      </c>
    </row>
    <row r="68" spans="1:44" ht="16" outlineLevel="1">
      <c r="A68" s="22" t="s">
        <v>134</v>
      </c>
      <c r="B68" s="23" t="s">
        <v>135</v>
      </c>
      <c r="C68" s="10">
        <v>4218507</v>
      </c>
      <c r="D68" s="14"/>
      <c r="E68" s="14" t="s">
        <v>77</v>
      </c>
      <c r="F68" s="71"/>
      <c r="G68" s="72"/>
      <c r="H68" s="73"/>
      <c r="I68" s="91">
        <f t="shared" si="145"/>
        <v>0</v>
      </c>
      <c r="J68" s="92">
        <f t="shared" si="146"/>
        <v>0</v>
      </c>
      <c r="K68" s="76"/>
      <c r="L68" s="72"/>
      <c r="M68" s="73"/>
      <c r="N68" s="91">
        <f t="shared" si="147"/>
        <v>0</v>
      </c>
      <c r="O68" s="73"/>
      <c r="P68" s="73"/>
      <c r="Q68" s="73"/>
      <c r="R68" s="91">
        <f t="shared" si="148"/>
        <v>0</v>
      </c>
      <c r="S68" s="77"/>
      <c r="T68" s="73"/>
      <c r="U68" s="73"/>
      <c r="V68" s="91">
        <f t="shared" si="149"/>
        <v>0</v>
      </c>
      <c r="W68" s="73"/>
      <c r="X68" s="73"/>
      <c r="Y68" s="73"/>
      <c r="Z68" s="91">
        <f t="shared" si="150"/>
        <v>0</v>
      </c>
      <c r="AA68" s="92">
        <f t="shared" si="151"/>
        <v>0</v>
      </c>
      <c r="AB68" s="71"/>
      <c r="AC68" s="72"/>
      <c r="AD68" s="73"/>
      <c r="AE68" s="91">
        <f t="shared" si="152"/>
        <v>0</v>
      </c>
      <c r="AF68" s="73"/>
      <c r="AG68" s="73"/>
      <c r="AH68" s="73"/>
      <c r="AI68" s="91">
        <f t="shared" si="153"/>
        <v>0</v>
      </c>
      <c r="AJ68" s="77"/>
      <c r="AK68" s="73"/>
      <c r="AL68" s="73"/>
      <c r="AM68" s="91">
        <f t="shared" si="154"/>
        <v>0</v>
      </c>
      <c r="AN68" s="73"/>
      <c r="AO68" s="73"/>
      <c r="AP68" s="73"/>
      <c r="AQ68" s="91">
        <f t="shared" si="155"/>
        <v>0</v>
      </c>
      <c r="AR68" s="92">
        <f t="shared" si="156"/>
        <v>0</v>
      </c>
    </row>
    <row r="69" spans="1:44" ht="16" outlineLevel="1">
      <c r="A69" s="22" t="s">
        <v>136</v>
      </c>
      <c r="B69" s="23" t="s">
        <v>137</v>
      </c>
      <c r="C69" s="10">
        <v>4218510</v>
      </c>
      <c r="D69" s="14"/>
      <c r="E69" s="14" t="s">
        <v>77</v>
      </c>
      <c r="F69" s="71"/>
      <c r="G69" s="72"/>
      <c r="H69" s="73"/>
      <c r="I69" s="91">
        <f t="shared" si="145"/>
        <v>0</v>
      </c>
      <c r="J69" s="92">
        <f t="shared" si="146"/>
        <v>0</v>
      </c>
      <c r="K69" s="76"/>
      <c r="L69" s="72"/>
      <c r="M69" s="73"/>
      <c r="N69" s="91">
        <f t="shared" si="147"/>
        <v>0</v>
      </c>
      <c r="O69" s="73"/>
      <c r="P69" s="73"/>
      <c r="Q69" s="73"/>
      <c r="R69" s="91">
        <f t="shared" si="148"/>
        <v>0</v>
      </c>
      <c r="S69" s="77"/>
      <c r="T69" s="73"/>
      <c r="U69" s="73"/>
      <c r="V69" s="91">
        <f t="shared" si="149"/>
        <v>0</v>
      </c>
      <c r="W69" s="73"/>
      <c r="X69" s="73"/>
      <c r="Y69" s="73"/>
      <c r="Z69" s="91">
        <f t="shared" si="150"/>
        <v>0</v>
      </c>
      <c r="AA69" s="92">
        <f t="shared" si="151"/>
        <v>0</v>
      </c>
      <c r="AB69" s="71"/>
      <c r="AC69" s="72"/>
      <c r="AD69" s="73"/>
      <c r="AE69" s="91">
        <f t="shared" si="152"/>
        <v>0</v>
      </c>
      <c r="AF69" s="73"/>
      <c r="AG69" s="73"/>
      <c r="AH69" s="73"/>
      <c r="AI69" s="91">
        <f t="shared" si="153"/>
        <v>0</v>
      </c>
      <c r="AJ69" s="77"/>
      <c r="AK69" s="73"/>
      <c r="AL69" s="73"/>
      <c r="AM69" s="91">
        <f t="shared" si="154"/>
        <v>0</v>
      </c>
      <c r="AN69" s="73"/>
      <c r="AO69" s="73"/>
      <c r="AP69" s="73"/>
      <c r="AQ69" s="91">
        <f t="shared" si="155"/>
        <v>0</v>
      </c>
      <c r="AR69" s="92">
        <f t="shared" si="156"/>
        <v>0</v>
      </c>
    </row>
    <row r="70" spans="1:44" ht="16" outlineLevel="1">
      <c r="A70" s="22" t="s">
        <v>138</v>
      </c>
      <c r="B70" s="23" t="s">
        <v>133</v>
      </c>
      <c r="C70" s="10">
        <v>4218514</v>
      </c>
      <c r="D70" s="14"/>
      <c r="E70" s="14" t="s">
        <v>77</v>
      </c>
      <c r="F70" s="71"/>
      <c r="G70" s="72"/>
      <c r="H70" s="73"/>
      <c r="I70" s="91">
        <f t="shared" si="145"/>
        <v>0</v>
      </c>
      <c r="J70" s="92">
        <f t="shared" si="146"/>
        <v>0</v>
      </c>
      <c r="K70" s="76"/>
      <c r="L70" s="72"/>
      <c r="M70" s="73"/>
      <c r="N70" s="91">
        <f t="shared" si="147"/>
        <v>0</v>
      </c>
      <c r="O70" s="73"/>
      <c r="P70" s="73"/>
      <c r="Q70" s="73"/>
      <c r="R70" s="91">
        <f t="shared" si="148"/>
        <v>0</v>
      </c>
      <c r="S70" s="77"/>
      <c r="T70" s="73"/>
      <c r="U70" s="73"/>
      <c r="V70" s="91">
        <f t="shared" si="149"/>
        <v>0</v>
      </c>
      <c r="W70" s="73"/>
      <c r="X70" s="73"/>
      <c r="Y70" s="73"/>
      <c r="Z70" s="91">
        <f t="shared" si="150"/>
        <v>0</v>
      </c>
      <c r="AA70" s="92">
        <f t="shared" si="151"/>
        <v>0</v>
      </c>
      <c r="AB70" s="71"/>
      <c r="AC70" s="72"/>
      <c r="AD70" s="73"/>
      <c r="AE70" s="91">
        <f t="shared" si="152"/>
        <v>0</v>
      </c>
      <c r="AF70" s="73"/>
      <c r="AG70" s="73"/>
      <c r="AH70" s="73"/>
      <c r="AI70" s="91">
        <f t="shared" si="153"/>
        <v>0</v>
      </c>
      <c r="AJ70" s="77"/>
      <c r="AK70" s="73"/>
      <c r="AL70" s="73"/>
      <c r="AM70" s="91">
        <f t="shared" si="154"/>
        <v>0</v>
      </c>
      <c r="AN70" s="73"/>
      <c r="AO70" s="73"/>
      <c r="AP70" s="73"/>
      <c r="AQ70" s="91">
        <f t="shared" si="155"/>
        <v>0</v>
      </c>
      <c r="AR70" s="92">
        <f t="shared" si="156"/>
        <v>0</v>
      </c>
    </row>
    <row r="71" spans="1:44" ht="16" outlineLevel="1">
      <c r="A71" s="22" t="s">
        <v>139</v>
      </c>
      <c r="B71" s="23" t="s">
        <v>135</v>
      </c>
      <c r="C71" s="10">
        <v>4218517</v>
      </c>
      <c r="D71" s="14"/>
      <c r="E71" s="14" t="s">
        <v>77</v>
      </c>
      <c r="F71" s="71"/>
      <c r="G71" s="72"/>
      <c r="H71" s="73"/>
      <c r="I71" s="91">
        <f t="shared" si="145"/>
        <v>0</v>
      </c>
      <c r="J71" s="92">
        <f t="shared" si="146"/>
        <v>0</v>
      </c>
      <c r="K71" s="76"/>
      <c r="L71" s="72"/>
      <c r="M71" s="73"/>
      <c r="N71" s="91">
        <f t="shared" si="147"/>
        <v>0</v>
      </c>
      <c r="O71" s="73"/>
      <c r="P71" s="73"/>
      <c r="Q71" s="73"/>
      <c r="R71" s="91">
        <f t="shared" si="148"/>
        <v>0</v>
      </c>
      <c r="S71" s="77"/>
      <c r="T71" s="73"/>
      <c r="U71" s="73"/>
      <c r="V71" s="91">
        <f t="shared" si="149"/>
        <v>0</v>
      </c>
      <c r="W71" s="73"/>
      <c r="X71" s="73"/>
      <c r="Y71" s="73"/>
      <c r="Z71" s="91">
        <f t="shared" si="150"/>
        <v>0</v>
      </c>
      <c r="AA71" s="92">
        <f t="shared" si="151"/>
        <v>0</v>
      </c>
      <c r="AB71" s="71"/>
      <c r="AC71" s="72"/>
      <c r="AD71" s="73"/>
      <c r="AE71" s="91">
        <f t="shared" si="152"/>
        <v>0</v>
      </c>
      <c r="AF71" s="73"/>
      <c r="AG71" s="73"/>
      <c r="AH71" s="73"/>
      <c r="AI71" s="91">
        <f t="shared" si="153"/>
        <v>0</v>
      </c>
      <c r="AJ71" s="77"/>
      <c r="AK71" s="73"/>
      <c r="AL71" s="73"/>
      <c r="AM71" s="91">
        <f t="shared" si="154"/>
        <v>0</v>
      </c>
      <c r="AN71" s="73"/>
      <c r="AO71" s="73"/>
      <c r="AP71" s="73"/>
      <c r="AQ71" s="91">
        <f t="shared" si="155"/>
        <v>0</v>
      </c>
      <c r="AR71" s="92">
        <f t="shared" si="156"/>
        <v>0</v>
      </c>
    </row>
    <row r="72" spans="1:44" ht="16" outlineLevel="1">
      <c r="A72" s="22" t="s">
        <v>140</v>
      </c>
      <c r="B72" s="23" t="s">
        <v>137</v>
      </c>
      <c r="C72" s="10">
        <v>4218520</v>
      </c>
      <c r="D72" s="14"/>
      <c r="E72" s="14" t="s">
        <v>77</v>
      </c>
      <c r="F72" s="71"/>
      <c r="G72" s="72"/>
      <c r="H72" s="73"/>
      <c r="I72" s="91">
        <f t="shared" si="145"/>
        <v>0</v>
      </c>
      <c r="J72" s="92">
        <f t="shared" si="146"/>
        <v>0</v>
      </c>
      <c r="K72" s="76"/>
      <c r="L72" s="72"/>
      <c r="M72" s="73"/>
      <c r="N72" s="91">
        <f t="shared" si="147"/>
        <v>0</v>
      </c>
      <c r="O72" s="73"/>
      <c r="P72" s="73"/>
      <c r="Q72" s="73"/>
      <c r="R72" s="91">
        <f t="shared" si="148"/>
        <v>0</v>
      </c>
      <c r="S72" s="77"/>
      <c r="T72" s="73"/>
      <c r="U72" s="73"/>
      <c r="V72" s="91">
        <f t="shared" si="149"/>
        <v>0</v>
      </c>
      <c r="W72" s="73"/>
      <c r="X72" s="73"/>
      <c r="Y72" s="73"/>
      <c r="Z72" s="91">
        <f t="shared" si="150"/>
        <v>0</v>
      </c>
      <c r="AA72" s="92">
        <f t="shared" si="151"/>
        <v>0</v>
      </c>
      <c r="AB72" s="71"/>
      <c r="AC72" s="72"/>
      <c r="AD72" s="73"/>
      <c r="AE72" s="91">
        <f t="shared" si="152"/>
        <v>0</v>
      </c>
      <c r="AF72" s="73"/>
      <c r="AG72" s="73"/>
      <c r="AH72" s="73"/>
      <c r="AI72" s="91">
        <f t="shared" si="153"/>
        <v>0</v>
      </c>
      <c r="AJ72" s="77"/>
      <c r="AK72" s="73"/>
      <c r="AL72" s="73"/>
      <c r="AM72" s="91">
        <f t="shared" si="154"/>
        <v>0</v>
      </c>
      <c r="AN72" s="73"/>
      <c r="AO72" s="73"/>
      <c r="AP72" s="73"/>
      <c r="AQ72" s="91">
        <f t="shared" si="155"/>
        <v>0</v>
      </c>
      <c r="AR72" s="92">
        <f t="shared" si="156"/>
        <v>0</v>
      </c>
    </row>
    <row r="73" spans="1:44" ht="16" outlineLevel="1">
      <c r="A73" s="22" t="s">
        <v>141</v>
      </c>
      <c r="B73" s="23" t="s">
        <v>142</v>
      </c>
      <c r="C73" s="10">
        <v>4218524</v>
      </c>
      <c r="D73" s="14"/>
      <c r="E73" s="14" t="s">
        <v>77</v>
      </c>
      <c r="F73" s="71"/>
      <c r="G73" s="72"/>
      <c r="H73" s="73"/>
      <c r="I73" s="91">
        <f t="shared" si="145"/>
        <v>0</v>
      </c>
      <c r="J73" s="92">
        <f t="shared" si="146"/>
        <v>0</v>
      </c>
      <c r="K73" s="76"/>
      <c r="L73" s="72"/>
      <c r="M73" s="73"/>
      <c r="N73" s="91">
        <f t="shared" si="147"/>
        <v>0</v>
      </c>
      <c r="O73" s="73"/>
      <c r="P73" s="73"/>
      <c r="Q73" s="73"/>
      <c r="R73" s="91">
        <f t="shared" si="148"/>
        <v>0</v>
      </c>
      <c r="S73" s="77"/>
      <c r="T73" s="73"/>
      <c r="U73" s="73"/>
      <c r="V73" s="91">
        <f t="shared" si="149"/>
        <v>0</v>
      </c>
      <c r="W73" s="73"/>
      <c r="X73" s="73"/>
      <c r="Y73" s="73"/>
      <c r="Z73" s="91">
        <f t="shared" si="150"/>
        <v>0</v>
      </c>
      <c r="AA73" s="92">
        <f t="shared" si="151"/>
        <v>0</v>
      </c>
      <c r="AB73" s="71"/>
      <c r="AC73" s="72"/>
      <c r="AD73" s="73"/>
      <c r="AE73" s="91">
        <f t="shared" si="152"/>
        <v>0</v>
      </c>
      <c r="AF73" s="73"/>
      <c r="AG73" s="73"/>
      <c r="AH73" s="73"/>
      <c r="AI73" s="91">
        <f t="shared" si="153"/>
        <v>0</v>
      </c>
      <c r="AJ73" s="77"/>
      <c r="AK73" s="73"/>
      <c r="AL73" s="73"/>
      <c r="AM73" s="91">
        <f t="shared" si="154"/>
        <v>0</v>
      </c>
      <c r="AN73" s="73"/>
      <c r="AO73" s="73"/>
      <c r="AP73" s="73"/>
      <c r="AQ73" s="91">
        <f t="shared" si="155"/>
        <v>0</v>
      </c>
      <c r="AR73" s="92">
        <f t="shared" si="156"/>
        <v>0</v>
      </c>
    </row>
    <row r="74" spans="1:44" ht="16" outlineLevel="1">
      <c r="A74" s="22" t="s">
        <v>143</v>
      </c>
      <c r="B74" s="23" t="s">
        <v>144</v>
      </c>
      <c r="C74" s="10">
        <v>4218527</v>
      </c>
      <c r="D74" s="14"/>
      <c r="E74" s="14" t="s">
        <v>77</v>
      </c>
      <c r="F74" s="71"/>
      <c r="G74" s="72"/>
      <c r="H74" s="73"/>
      <c r="I74" s="91">
        <f t="shared" si="145"/>
        <v>0</v>
      </c>
      <c r="J74" s="92">
        <f t="shared" si="146"/>
        <v>0</v>
      </c>
      <c r="K74" s="76"/>
      <c r="L74" s="72"/>
      <c r="M74" s="73"/>
      <c r="N74" s="91">
        <f t="shared" si="147"/>
        <v>0</v>
      </c>
      <c r="O74" s="73"/>
      <c r="P74" s="73"/>
      <c r="Q74" s="73"/>
      <c r="R74" s="91">
        <f t="shared" si="148"/>
        <v>0</v>
      </c>
      <c r="S74" s="77"/>
      <c r="T74" s="73"/>
      <c r="U74" s="73"/>
      <c r="V74" s="91">
        <f t="shared" si="149"/>
        <v>0</v>
      </c>
      <c r="W74" s="73"/>
      <c r="X74" s="73"/>
      <c r="Y74" s="73"/>
      <c r="Z74" s="91">
        <f t="shared" si="150"/>
        <v>0</v>
      </c>
      <c r="AA74" s="92">
        <f t="shared" si="151"/>
        <v>0</v>
      </c>
      <c r="AB74" s="71"/>
      <c r="AC74" s="72"/>
      <c r="AD74" s="73"/>
      <c r="AE74" s="91">
        <f t="shared" si="152"/>
        <v>0</v>
      </c>
      <c r="AF74" s="73"/>
      <c r="AG74" s="73"/>
      <c r="AH74" s="73"/>
      <c r="AI74" s="91">
        <f t="shared" si="153"/>
        <v>0</v>
      </c>
      <c r="AJ74" s="77"/>
      <c r="AK74" s="73"/>
      <c r="AL74" s="73"/>
      <c r="AM74" s="91">
        <f t="shared" si="154"/>
        <v>0</v>
      </c>
      <c r="AN74" s="73"/>
      <c r="AO74" s="73"/>
      <c r="AP74" s="73"/>
      <c r="AQ74" s="91">
        <f t="shared" si="155"/>
        <v>0</v>
      </c>
      <c r="AR74" s="92">
        <f t="shared" si="156"/>
        <v>0</v>
      </c>
    </row>
    <row r="75" spans="1:44" ht="16" outlineLevel="1">
      <c r="A75" s="22" t="s">
        <v>145</v>
      </c>
      <c r="B75" s="23" t="s">
        <v>146</v>
      </c>
      <c r="C75" s="10">
        <v>4218530</v>
      </c>
      <c r="D75" s="14"/>
      <c r="E75" s="14" t="s">
        <v>77</v>
      </c>
      <c r="F75" s="71"/>
      <c r="G75" s="72"/>
      <c r="H75" s="73"/>
      <c r="I75" s="91">
        <f t="shared" si="145"/>
        <v>0</v>
      </c>
      <c r="J75" s="92">
        <f t="shared" si="146"/>
        <v>0</v>
      </c>
      <c r="K75" s="76"/>
      <c r="L75" s="72"/>
      <c r="M75" s="73"/>
      <c r="N75" s="91">
        <f t="shared" si="147"/>
        <v>0</v>
      </c>
      <c r="O75" s="73"/>
      <c r="P75" s="73"/>
      <c r="Q75" s="73"/>
      <c r="R75" s="91">
        <f t="shared" si="148"/>
        <v>0</v>
      </c>
      <c r="S75" s="77"/>
      <c r="T75" s="73"/>
      <c r="U75" s="73"/>
      <c r="V75" s="91">
        <f t="shared" si="149"/>
        <v>0</v>
      </c>
      <c r="W75" s="73"/>
      <c r="X75" s="73"/>
      <c r="Y75" s="73"/>
      <c r="Z75" s="91">
        <f t="shared" si="150"/>
        <v>0</v>
      </c>
      <c r="AA75" s="92">
        <f t="shared" si="151"/>
        <v>0</v>
      </c>
      <c r="AB75" s="71"/>
      <c r="AC75" s="72"/>
      <c r="AD75" s="73"/>
      <c r="AE75" s="91">
        <f t="shared" si="152"/>
        <v>0</v>
      </c>
      <c r="AF75" s="73"/>
      <c r="AG75" s="73"/>
      <c r="AH75" s="73"/>
      <c r="AI75" s="91">
        <f t="shared" si="153"/>
        <v>0</v>
      </c>
      <c r="AJ75" s="77"/>
      <c r="AK75" s="73"/>
      <c r="AL75" s="73"/>
      <c r="AM75" s="91">
        <f t="shared" si="154"/>
        <v>0</v>
      </c>
      <c r="AN75" s="73"/>
      <c r="AO75" s="73"/>
      <c r="AP75" s="73"/>
      <c r="AQ75" s="91">
        <f t="shared" si="155"/>
        <v>0</v>
      </c>
      <c r="AR75" s="92">
        <f t="shared" si="156"/>
        <v>0</v>
      </c>
    </row>
    <row r="76" spans="1:44" ht="16" outlineLevel="1">
      <c r="A76" s="22" t="s">
        <v>147</v>
      </c>
      <c r="B76" s="23" t="s">
        <v>142</v>
      </c>
      <c r="C76" s="10">
        <v>4218534</v>
      </c>
      <c r="D76" s="14"/>
      <c r="E76" s="14" t="s">
        <v>77</v>
      </c>
      <c r="F76" s="71"/>
      <c r="G76" s="72"/>
      <c r="H76" s="73"/>
      <c r="I76" s="91">
        <f t="shared" si="145"/>
        <v>0</v>
      </c>
      <c r="J76" s="92">
        <f t="shared" si="146"/>
        <v>0</v>
      </c>
      <c r="K76" s="76"/>
      <c r="L76" s="72"/>
      <c r="M76" s="73"/>
      <c r="N76" s="91">
        <f t="shared" si="147"/>
        <v>0</v>
      </c>
      <c r="O76" s="73"/>
      <c r="P76" s="73"/>
      <c r="Q76" s="73"/>
      <c r="R76" s="91">
        <f t="shared" si="148"/>
        <v>0</v>
      </c>
      <c r="S76" s="77"/>
      <c r="T76" s="73"/>
      <c r="U76" s="73"/>
      <c r="V76" s="91">
        <f t="shared" si="149"/>
        <v>0</v>
      </c>
      <c r="W76" s="73"/>
      <c r="X76" s="73"/>
      <c r="Y76" s="73"/>
      <c r="Z76" s="91">
        <f t="shared" si="150"/>
        <v>0</v>
      </c>
      <c r="AA76" s="92">
        <f t="shared" si="151"/>
        <v>0</v>
      </c>
      <c r="AB76" s="71"/>
      <c r="AC76" s="72"/>
      <c r="AD76" s="73"/>
      <c r="AE76" s="91">
        <f t="shared" si="152"/>
        <v>0</v>
      </c>
      <c r="AF76" s="73"/>
      <c r="AG76" s="73"/>
      <c r="AH76" s="73"/>
      <c r="AI76" s="91">
        <f t="shared" si="153"/>
        <v>0</v>
      </c>
      <c r="AJ76" s="77"/>
      <c r="AK76" s="73"/>
      <c r="AL76" s="73"/>
      <c r="AM76" s="91">
        <f t="shared" si="154"/>
        <v>0</v>
      </c>
      <c r="AN76" s="73"/>
      <c r="AO76" s="73"/>
      <c r="AP76" s="73"/>
      <c r="AQ76" s="91">
        <f t="shared" si="155"/>
        <v>0</v>
      </c>
      <c r="AR76" s="92">
        <f t="shared" si="156"/>
        <v>0</v>
      </c>
    </row>
    <row r="77" spans="1:44" ht="16" outlineLevel="1">
      <c r="A77" s="22" t="s">
        <v>148</v>
      </c>
      <c r="B77" s="23" t="s">
        <v>144</v>
      </c>
      <c r="C77" s="10">
        <v>4218537</v>
      </c>
      <c r="D77" s="14"/>
      <c r="E77" s="14" t="s">
        <v>77</v>
      </c>
      <c r="F77" s="71"/>
      <c r="G77" s="72"/>
      <c r="H77" s="73"/>
      <c r="I77" s="91">
        <f t="shared" si="145"/>
        <v>0</v>
      </c>
      <c r="J77" s="92">
        <f t="shared" si="146"/>
        <v>0</v>
      </c>
      <c r="K77" s="76"/>
      <c r="L77" s="72"/>
      <c r="M77" s="73"/>
      <c r="N77" s="91">
        <f t="shared" si="147"/>
        <v>0</v>
      </c>
      <c r="O77" s="73"/>
      <c r="P77" s="73"/>
      <c r="Q77" s="73"/>
      <c r="R77" s="91">
        <f t="shared" si="148"/>
        <v>0</v>
      </c>
      <c r="S77" s="77"/>
      <c r="T77" s="73"/>
      <c r="U77" s="73"/>
      <c r="V77" s="91">
        <f t="shared" si="149"/>
        <v>0</v>
      </c>
      <c r="W77" s="73"/>
      <c r="X77" s="73"/>
      <c r="Y77" s="73"/>
      <c r="Z77" s="91">
        <f t="shared" si="150"/>
        <v>0</v>
      </c>
      <c r="AA77" s="92">
        <f t="shared" si="151"/>
        <v>0</v>
      </c>
      <c r="AB77" s="71"/>
      <c r="AC77" s="72"/>
      <c r="AD77" s="73"/>
      <c r="AE77" s="91">
        <f t="shared" si="152"/>
        <v>0</v>
      </c>
      <c r="AF77" s="73"/>
      <c r="AG77" s="73"/>
      <c r="AH77" s="73"/>
      <c r="AI77" s="91">
        <f t="shared" si="153"/>
        <v>0</v>
      </c>
      <c r="AJ77" s="77"/>
      <c r="AK77" s="73"/>
      <c r="AL77" s="73"/>
      <c r="AM77" s="91">
        <f t="shared" si="154"/>
        <v>0</v>
      </c>
      <c r="AN77" s="73"/>
      <c r="AO77" s="73"/>
      <c r="AP77" s="73"/>
      <c r="AQ77" s="91">
        <f t="shared" si="155"/>
        <v>0</v>
      </c>
      <c r="AR77" s="92">
        <f t="shared" si="156"/>
        <v>0</v>
      </c>
    </row>
    <row r="78" spans="1:44" ht="17" outlineLevel="1" thickBot="1">
      <c r="A78" s="27" t="s">
        <v>149</v>
      </c>
      <c r="B78" s="28" t="s">
        <v>146</v>
      </c>
      <c r="C78" s="29">
        <v>4218540</v>
      </c>
      <c r="D78" s="14"/>
      <c r="E78" s="14" t="s">
        <v>77</v>
      </c>
      <c r="F78" s="71"/>
      <c r="G78" s="72"/>
      <c r="H78" s="73"/>
      <c r="I78" s="91">
        <f t="shared" si="145"/>
        <v>0</v>
      </c>
      <c r="J78" s="92">
        <f t="shared" si="146"/>
        <v>0</v>
      </c>
      <c r="K78" s="76"/>
      <c r="L78" s="72"/>
      <c r="M78" s="73"/>
      <c r="N78" s="91">
        <f t="shared" si="147"/>
        <v>0</v>
      </c>
      <c r="O78" s="73"/>
      <c r="P78" s="73"/>
      <c r="Q78" s="73"/>
      <c r="R78" s="91">
        <f t="shared" si="148"/>
        <v>0</v>
      </c>
      <c r="S78" s="77"/>
      <c r="T78" s="73"/>
      <c r="U78" s="73"/>
      <c r="V78" s="91">
        <f t="shared" si="149"/>
        <v>0</v>
      </c>
      <c r="W78" s="73"/>
      <c r="X78" s="73"/>
      <c r="Y78" s="73"/>
      <c r="Z78" s="91">
        <f t="shared" si="150"/>
        <v>0</v>
      </c>
      <c r="AA78" s="92">
        <f t="shared" si="151"/>
        <v>0</v>
      </c>
      <c r="AB78" s="71"/>
      <c r="AC78" s="72"/>
      <c r="AD78" s="73"/>
      <c r="AE78" s="91">
        <f t="shared" si="152"/>
        <v>0</v>
      </c>
      <c r="AF78" s="73"/>
      <c r="AG78" s="73"/>
      <c r="AH78" s="73"/>
      <c r="AI78" s="91">
        <f t="shared" si="153"/>
        <v>0</v>
      </c>
      <c r="AJ78" s="77"/>
      <c r="AK78" s="73"/>
      <c r="AL78" s="73"/>
      <c r="AM78" s="91">
        <f t="shared" si="154"/>
        <v>0</v>
      </c>
      <c r="AN78" s="73"/>
      <c r="AO78" s="73"/>
      <c r="AP78" s="73"/>
      <c r="AQ78" s="91">
        <f t="shared" si="155"/>
        <v>0</v>
      </c>
      <c r="AR78" s="92">
        <f t="shared" si="156"/>
        <v>0</v>
      </c>
    </row>
    <row r="79" spans="1:44" ht="16" thickBot="1">
      <c r="A79" s="102" t="s">
        <v>56</v>
      </c>
      <c r="B79" s="103"/>
      <c r="C79" s="103"/>
      <c r="D79" s="103"/>
      <c r="E79" s="104"/>
      <c r="F79" s="83">
        <f t="shared" ref="F79:AR79" si="157">SUM(F43:F78)</f>
        <v>0</v>
      </c>
      <c r="G79" s="83">
        <f t="shared" si="157"/>
        <v>0</v>
      </c>
      <c r="H79" s="83">
        <f t="shared" si="157"/>
        <v>2000</v>
      </c>
      <c r="I79" s="84">
        <f t="shared" si="157"/>
        <v>2000</v>
      </c>
      <c r="J79" s="87">
        <f t="shared" si="157"/>
        <v>2000</v>
      </c>
      <c r="K79" s="83">
        <f t="shared" si="157"/>
        <v>2000</v>
      </c>
      <c r="L79" s="83">
        <f t="shared" si="157"/>
        <v>2000</v>
      </c>
      <c r="M79" s="83">
        <f t="shared" si="157"/>
        <v>2500</v>
      </c>
      <c r="N79" s="86">
        <f t="shared" si="157"/>
        <v>6500</v>
      </c>
      <c r="O79" s="83">
        <f t="shared" si="157"/>
        <v>2875</v>
      </c>
      <c r="P79" s="83">
        <f t="shared" si="157"/>
        <v>2875</v>
      </c>
      <c r="Q79" s="83">
        <f t="shared" si="157"/>
        <v>3112.5</v>
      </c>
      <c r="R79" s="86">
        <f t="shared" si="157"/>
        <v>8862.5</v>
      </c>
      <c r="S79" s="83">
        <f t="shared" si="157"/>
        <v>3112.5</v>
      </c>
      <c r="T79" s="83">
        <f t="shared" si="157"/>
        <v>3112.5</v>
      </c>
      <c r="U79" s="83">
        <f t="shared" si="157"/>
        <v>3486</v>
      </c>
      <c r="V79" s="86">
        <f t="shared" si="157"/>
        <v>9711</v>
      </c>
      <c r="W79" s="83">
        <f t="shared" si="157"/>
        <v>3486</v>
      </c>
      <c r="X79" s="83">
        <f t="shared" si="157"/>
        <v>3486</v>
      </c>
      <c r="Y79" s="83">
        <f t="shared" si="157"/>
        <v>3904.3199999999997</v>
      </c>
      <c r="Z79" s="86">
        <f t="shared" si="157"/>
        <v>10876.32</v>
      </c>
      <c r="AA79" s="87">
        <f t="shared" si="157"/>
        <v>35949.82</v>
      </c>
      <c r="AB79" s="83">
        <f t="shared" si="157"/>
        <v>3904.3199999999997</v>
      </c>
      <c r="AC79" s="83">
        <f t="shared" si="157"/>
        <v>3904.3199999999997</v>
      </c>
      <c r="AD79" s="83">
        <f t="shared" si="157"/>
        <v>4099.5360000000001</v>
      </c>
      <c r="AE79" s="86">
        <f t="shared" si="157"/>
        <v>11908.175999999999</v>
      </c>
      <c r="AF79" s="83">
        <f t="shared" si="157"/>
        <v>4099.5360000000001</v>
      </c>
      <c r="AG79" s="83">
        <f t="shared" si="157"/>
        <v>4099.5360000000001</v>
      </c>
      <c r="AH79" s="83">
        <f t="shared" si="157"/>
        <v>4304.5128000000004</v>
      </c>
      <c r="AI79" s="86">
        <f t="shared" si="157"/>
        <v>12503.584800000001</v>
      </c>
      <c r="AJ79" s="83">
        <f t="shared" si="157"/>
        <v>4304.5128000000004</v>
      </c>
      <c r="AK79" s="83">
        <f t="shared" si="157"/>
        <v>4304.5128000000004</v>
      </c>
      <c r="AL79" s="83">
        <f t="shared" si="157"/>
        <v>4519.7384400000001</v>
      </c>
      <c r="AM79" s="86">
        <f t="shared" si="157"/>
        <v>13128.76404</v>
      </c>
      <c r="AN79" s="83">
        <f t="shared" si="157"/>
        <v>4519.7384400000001</v>
      </c>
      <c r="AO79" s="83">
        <f t="shared" si="157"/>
        <v>4519.7384400000001</v>
      </c>
      <c r="AP79" s="83">
        <f t="shared" si="157"/>
        <v>4745.7253620000001</v>
      </c>
      <c r="AQ79" s="86">
        <f t="shared" si="157"/>
        <v>13785.202241999999</v>
      </c>
      <c r="AR79" s="87">
        <f t="shared" si="157"/>
        <v>51325.727081999998</v>
      </c>
    </row>
    <row r="80" spans="1:44" ht="16" thickBot="1">
      <c r="A80" s="40"/>
      <c r="B80" s="40"/>
      <c r="C80" s="40"/>
      <c r="D80" s="40"/>
      <c r="E80" s="49"/>
      <c r="F80" s="49"/>
      <c r="G80" s="49"/>
      <c r="H80" s="49"/>
      <c r="I80" s="49"/>
      <c r="J80" s="56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6"/>
      <c r="AB80" s="57"/>
      <c r="AC80" s="58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</row>
    <row r="81" spans="1:44" ht="19" thickBot="1">
      <c r="A81" s="116" t="s">
        <v>150</v>
      </c>
      <c r="B81" s="117"/>
      <c r="C81" s="117"/>
      <c r="D81" s="117"/>
      <c r="E81" s="118"/>
      <c r="F81" s="49"/>
      <c r="G81" s="49"/>
      <c r="H81" s="49"/>
      <c r="I81" s="49"/>
      <c r="J81" s="56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6"/>
      <c r="AB81" s="57"/>
      <c r="AC81" s="58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</row>
    <row r="82" spans="1:44" ht="17" outlineLevel="1">
      <c r="A82" s="50" t="s">
        <v>151</v>
      </c>
      <c r="B82" s="52" t="s">
        <v>152</v>
      </c>
      <c r="C82" s="54">
        <v>10101010101</v>
      </c>
      <c r="D82" s="53"/>
      <c r="E82" s="14" t="s">
        <v>153</v>
      </c>
      <c r="F82" s="64"/>
      <c r="G82" s="69"/>
      <c r="H82" s="66"/>
      <c r="I82" s="89">
        <f t="shared" ref="I82:I83" si="158">SUM(F82:H82)</f>
        <v>0</v>
      </c>
      <c r="J82" s="90">
        <f t="shared" ref="J82:J83" si="159">SUM(I82)</f>
        <v>0</v>
      </c>
      <c r="K82" s="69"/>
      <c r="L82" s="69">
        <v>10</v>
      </c>
      <c r="M82" s="66"/>
      <c r="N82" s="89">
        <f t="shared" ref="N82:N83" si="160">SUM(K82:M82)</f>
        <v>10</v>
      </c>
      <c r="O82" s="69"/>
      <c r="P82" s="69">
        <v>10</v>
      </c>
      <c r="Q82" s="66"/>
      <c r="R82" s="89">
        <f t="shared" ref="R82:R83" si="161">SUM(O82:Q82)</f>
        <v>10</v>
      </c>
      <c r="S82" s="69"/>
      <c r="T82" s="69">
        <v>20</v>
      </c>
      <c r="U82" s="66"/>
      <c r="V82" s="89">
        <f t="shared" ref="V82:V83" si="162">SUM(S82:U82)</f>
        <v>20</v>
      </c>
      <c r="W82" s="69"/>
      <c r="X82" s="69">
        <v>10</v>
      </c>
      <c r="Y82" s="66"/>
      <c r="Z82" s="89">
        <f t="shared" ref="Z82:Z83" si="163">SUM(W82:Y82)</f>
        <v>10</v>
      </c>
      <c r="AA82" s="90">
        <f t="shared" ref="AA82:AA83" si="164">SUM(Z82,V82,R82,N82)</f>
        <v>50</v>
      </c>
      <c r="AB82" s="64"/>
      <c r="AC82" s="69">
        <v>20</v>
      </c>
      <c r="AD82" s="66"/>
      <c r="AE82" s="89">
        <f t="shared" ref="AE82:AE83" si="165">SUM(AB82:AD82)</f>
        <v>20</v>
      </c>
      <c r="AF82" s="69"/>
      <c r="AG82" s="69">
        <v>10</v>
      </c>
      <c r="AH82" s="66"/>
      <c r="AI82" s="89">
        <f t="shared" ref="AI82:AI83" si="166">SUM(AF82:AH82)</f>
        <v>10</v>
      </c>
      <c r="AJ82" s="69"/>
      <c r="AK82" s="69">
        <v>20</v>
      </c>
      <c r="AL82" s="66"/>
      <c r="AM82" s="89">
        <f t="shared" ref="AM82:AM83" si="167">SUM(AJ82:AL82)</f>
        <v>20</v>
      </c>
      <c r="AN82" s="69"/>
      <c r="AO82" s="69">
        <v>10</v>
      </c>
      <c r="AP82" s="66"/>
      <c r="AQ82" s="89">
        <f>SUM(AN82:AP82)</f>
        <v>10</v>
      </c>
      <c r="AR82" s="90">
        <f>SUM(AQ82,AM82,AI82,AE82)</f>
        <v>60</v>
      </c>
    </row>
    <row r="83" spans="1:44" ht="18" outlineLevel="1" thickBot="1">
      <c r="A83" s="16" t="s">
        <v>154</v>
      </c>
      <c r="B83" s="19" t="s">
        <v>155</v>
      </c>
      <c r="C83" s="19"/>
      <c r="D83" s="10"/>
      <c r="E83" s="14" t="s">
        <v>153</v>
      </c>
      <c r="F83" s="78"/>
      <c r="G83" s="79"/>
      <c r="H83" s="80"/>
      <c r="I83" s="93">
        <f t="shared" si="158"/>
        <v>0</v>
      </c>
      <c r="J83" s="94">
        <f t="shared" si="159"/>
        <v>0</v>
      </c>
      <c r="K83" s="80"/>
      <c r="L83" s="79">
        <v>5</v>
      </c>
      <c r="M83" s="80"/>
      <c r="N83" s="93">
        <f t="shared" si="160"/>
        <v>5</v>
      </c>
      <c r="O83" s="79"/>
      <c r="P83" s="79"/>
      <c r="Q83" s="80"/>
      <c r="R83" s="93">
        <f t="shared" si="161"/>
        <v>0</v>
      </c>
      <c r="S83" s="80"/>
      <c r="T83" s="80">
        <v>5</v>
      </c>
      <c r="U83" s="80"/>
      <c r="V83" s="93">
        <f t="shared" si="162"/>
        <v>5</v>
      </c>
      <c r="W83" s="80"/>
      <c r="X83" s="80"/>
      <c r="Y83" s="80"/>
      <c r="Z83" s="93">
        <f t="shared" si="163"/>
        <v>0</v>
      </c>
      <c r="AA83" s="94">
        <f t="shared" si="164"/>
        <v>10</v>
      </c>
      <c r="AB83" s="78"/>
      <c r="AC83" s="79"/>
      <c r="AD83" s="80">
        <v>5</v>
      </c>
      <c r="AE83" s="93">
        <f t="shared" si="165"/>
        <v>5</v>
      </c>
      <c r="AF83" s="79"/>
      <c r="AG83" s="79"/>
      <c r="AH83" s="80"/>
      <c r="AI83" s="93">
        <f t="shared" si="166"/>
        <v>0</v>
      </c>
      <c r="AJ83" s="80"/>
      <c r="AK83" s="80"/>
      <c r="AL83" s="80">
        <v>5</v>
      </c>
      <c r="AM83" s="93">
        <f t="shared" si="167"/>
        <v>5</v>
      </c>
      <c r="AN83" s="80"/>
      <c r="AO83" s="80"/>
      <c r="AP83" s="80"/>
      <c r="AQ83" s="93">
        <f t="shared" ref="AQ83" si="168">SUM(AN83:AP83)</f>
        <v>0</v>
      </c>
      <c r="AR83" s="94">
        <f t="shared" ref="AR83" si="169">SUM(AQ83,AM83,AI83,AE83)</f>
        <v>10</v>
      </c>
    </row>
    <row r="84" spans="1:44" ht="16" thickBot="1">
      <c r="A84" s="102" t="s">
        <v>56</v>
      </c>
      <c r="B84" s="103"/>
      <c r="C84" s="103"/>
      <c r="D84" s="103"/>
      <c r="E84" s="104"/>
      <c r="F84" s="83">
        <f>SUM(F82:F83)</f>
        <v>0</v>
      </c>
      <c r="G84" s="83">
        <f t="shared" ref="G84" si="170">SUM(G82:G83)</f>
        <v>0</v>
      </c>
      <c r="H84" s="83">
        <f t="shared" ref="H84" si="171">SUM(H82:H83)</f>
        <v>0</v>
      </c>
      <c r="I84" s="84">
        <f>SUM(I82:I83)</f>
        <v>0</v>
      </c>
      <c r="J84" s="85">
        <f>SUM(J82:J83)</f>
        <v>0</v>
      </c>
      <c r="K84" s="83">
        <f>SUM(K82:K83)</f>
        <v>0</v>
      </c>
      <c r="L84" s="83">
        <f t="shared" ref="L84" si="172">SUM(L82:L83)</f>
        <v>15</v>
      </c>
      <c r="M84" s="83">
        <f t="shared" ref="M84" si="173">SUM(M82:M83)</f>
        <v>0</v>
      </c>
      <c r="N84" s="86">
        <f>SUM(N82:N83)</f>
        <v>15</v>
      </c>
      <c r="O84" s="83">
        <f>SUM(O82:O83)</f>
        <v>0</v>
      </c>
      <c r="P84" s="83">
        <f t="shared" ref="P84" si="174">SUM(P82:P83)</f>
        <v>10</v>
      </c>
      <c r="Q84" s="83">
        <f t="shared" ref="Q84" si="175">SUM(Q82:Q83)</f>
        <v>0</v>
      </c>
      <c r="R84" s="86">
        <f>SUM(R82:R83)</f>
        <v>10</v>
      </c>
      <c r="S84" s="83">
        <f>SUM(S82:S83)</f>
        <v>0</v>
      </c>
      <c r="T84" s="83">
        <f t="shared" ref="T84" si="176">SUM(T82:T83)</f>
        <v>25</v>
      </c>
      <c r="U84" s="83">
        <f t="shared" ref="U84" si="177">SUM(U82:U83)</f>
        <v>0</v>
      </c>
      <c r="V84" s="86">
        <f>SUM(V82:V83)</f>
        <v>25</v>
      </c>
      <c r="W84" s="83">
        <f>SUM(W82:W83)</f>
        <v>0</v>
      </c>
      <c r="X84" s="83">
        <f t="shared" ref="X84" si="178">SUM(X82:X83)</f>
        <v>10</v>
      </c>
      <c r="Y84" s="83">
        <f t="shared" ref="Y84" si="179">SUM(Y82:Y83)</f>
        <v>0</v>
      </c>
      <c r="Z84" s="86">
        <f>SUM(Z82:Z83)</f>
        <v>10</v>
      </c>
      <c r="AA84" s="87">
        <f>SUM(AA82:AA83)</f>
        <v>60</v>
      </c>
      <c r="AB84" s="83">
        <f>SUM(AB82:AB83)</f>
        <v>0</v>
      </c>
      <c r="AC84" s="83">
        <f t="shared" ref="AC84" si="180">SUM(AC82:AC83)</f>
        <v>20</v>
      </c>
      <c r="AD84" s="83">
        <f t="shared" ref="AD84" si="181">SUM(AD82:AD83)</f>
        <v>5</v>
      </c>
      <c r="AE84" s="86">
        <f>SUM(AE82:AE83)</f>
        <v>25</v>
      </c>
      <c r="AF84" s="83">
        <f>SUM(AF82:AF83)</f>
        <v>0</v>
      </c>
      <c r="AG84" s="83">
        <f t="shared" ref="AG84" si="182">SUM(AG82:AG83)</f>
        <v>10</v>
      </c>
      <c r="AH84" s="83">
        <f t="shared" ref="AH84" si="183">SUM(AH82:AH83)</f>
        <v>0</v>
      </c>
      <c r="AI84" s="86">
        <f>SUM(AI82:AI83)</f>
        <v>10</v>
      </c>
      <c r="AJ84" s="83">
        <f>SUM(AJ82:AJ83)</f>
        <v>0</v>
      </c>
      <c r="AK84" s="83">
        <f t="shared" ref="AK84" si="184">SUM(AK82:AK83)</f>
        <v>20</v>
      </c>
      <c r="AL84" s="83">
        <f t="shared" ref="AL84" si="185">SUM(AL82:AL83)</f>
        <v>5</v>
      </c>
      <c r="AM84" s="86">
        <f>SUM(AM82:AM83)</f>
        <v>25</v>
      </c>
      <c r="AN84" s="83">
        <f>SUM(AN82:AN83)</f>
        <v>0</v>
      </c>
      <c r="AO84" s="83">
        <f t="shared" ref="AO84" si="186">SUM(AO82:AO83)</f>
        <v>10</v>
      </c>
      <c r="AP84" s="83">
        <f t="shared" ref="AP84" si="187">SUM(AP82:AP83)</f>
        <v>0</v>
      </c>
      <c r="AQ84" s="86">
        <f>SUM(AQ82:AQ83)</f>
        <v>10</v>
      </c>
      <c r="AR84" s="87">
        <f>SUM(AR82:AR83)</f>
        <v>70</v>
      </c>
    </row>
    <row r="85" spans="1:44" ht="16" thickBot="1">
      <c r="A85" s="40"/>
      <c r="B85" s="40"/>
      <c r="C85" s="40"/>
      <c r="D85" s="40"/>
      <c r="E85" s="49"/>
      <c r="F85" s="49"/>
      <c r="G85" s="49"/>
      <c r="H85" s="49"/>
      <c r="I85" s="49"/>
      <c r="J85" s="56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6"/>
      <c r="AB85" s="57"/>
      <c r="AC85" s="58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</row>
    <row r="86" spans="1:44" ht="19" thickBot="1">
      <c r="A86" s="113" t="s">
        <v>156</v>
      </c>
      <c r="B86" s="114"/>
      <c r="C86" s="114"/>
      <c r="D86" s="114"/>
      <c r="E86" s="115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</row>
    <row r="87" spans="1:44" ht="17" outlineLevel="1">
      <c r="A87" s="17" t="s">
        <v>157</v>
      </c>
      <c r="B87" s="17" t="s">
        <v>158</v>
      </c>
      <c r="C87" s="17">
        <v>4620110</v>
      </c>
      <c r="D87" s="15"/>
      <c r="E87" s="14" t="s">
        <v>153</v>
      </c>
      <c r="F87" s="64"/>
      <c r="G87" s="65"/>
      <c r="H87" s="66"/>
      <c r="I87" s="89">
        <f>SUM(F87:H87)</f>
        <v>0</v>
      </c>
      <c r="J87" s="90">
        <f>SUM(I87)</f>
        <v>0</v>
      </c>
      <c r="K87" s="69"/>
      <c r="L87" s="65"/>
      <c r="M87" s="66"/>
      <c r="N87" s="89">
        <f>SUM(K87:M87)</f>
        <v>0</v>
      </c>
      <c r="O87" s="66"/>
      <c r="P87" s="66"/>
      <c r="Q87" s="66"/>
      <c r="R87" s="89">
        <f>SUM(O87:Q87)</f>
        <v>0</v>
      </c>
      <c r="S87" s="70"/>
      <c r="T87" s="66"/>
      <c r="U87" s="66"/>
      <c r="V87" s="89">
        <f>SUM(S87:U87)</f>
        <v>0</v>
      </c>
      <c r="W87" s="66"/>
      <c r="X87" s="66"/>
      <c r="Y87" s="66"/>
      <c r="Z87" s="89">
        <f>SUM(W87:Y87)</f>
        <v>0</v>
      </c>
      <c r="AA87" s="90">
        <f>SUM(Z87,V87,R87,N87)</f>
        <v>0</v>
      </c>
      <c r="AB87" s="64"/>
      <c r="AC87" s="65"/>
      <c r="AD87" s="66"/>
      <c r="AE87" s="89">
        <f>SUM(AB87:AD87)</f>
        <v>0</v>
      </c>
      <c r="AF87" s="66"/>
      <c r="AG87" s="66"/>
      <c r="AH87" s="66"/>
      <c r="AI87" s="89">
        <f>SUM(AF87:AH87)</f>
        <v>0</v>
      </c>
      <c r="AJ87" s="70"/>
      <c r="AK87" s="66"/>
      <c r="AL87" s="66"/>
      <c r="AM87" s="89">
        <f>SUM(AJ87:AL87)</f>
        <v>0</v>
      </c>
      <c r="AN87" s="66"/>
      <c r="AO87" s="66"/>
      <c r="AP87" s="66"/>
      <c r="AQ87" s="89">
        <f>SUM(AN87:AP87)</f>
        <v>0</v>
      </c>
      <c r="AR87" s="90">
        <f>SUM(AQ87,AM87,AI87,AE87)</f>
        <v>0</v>
      </c>
    </row>
    <row r="88" spans="1:44" ht="17" outlineLevel="1">
      <c r="A88" s="11" t="s">
        <v>159</v>
      </c>
      <c r="B88" s="11" t="s">
        <v>160</v>
      </c>
      <c r="C88" s="11">
        <v>4620115</v>
      </c>
      <c r="D88" s="10"/>
      <c r="E88" s="4" t="s">
        <v>153</v>
      </c>
      <c r="F88" s="71"/>
      <c r="G88" s="72"/>
      <c r="H88" s="73"/>
      <c r="I88" s="91">
        <f>SUM(F88:H88)</f>
        <v>0</v>
      </c>
      <c r="J88" s="92">
        <f>SUM(I88)</f>
        <v>0</v>
      </c>
      <c r="K88" s="76"/>
      <c r="L88" s="72"/>
      <c r="M88" s="73"/>
      <c r="N88" s="91">
        <f t="shared" ref="N88:N95" si="188">SUM(K88:M88)</f>
        <v>0</v>
      </c>
      <c r="O88" s="73"/>
      <c r="P88" s="73"/>
      <c r="Q88" s="73"/>
      <c r="R88" s="91">
        <f>SUM(O88:Q88)</f>
        <v>0</v>
      </c>
      <c r="S88" s="77"/>
      <c r="T88" s="73"/>
      <c r="U88" s="73"/>
      <c r="V88" s="91">
        <f t="shared" ref="V88:V95" si="189">SUM(S88:U88)</f>
        <v>0</v>
      </c>
      <c r="W88" s="73"/>
      <c r="X88" s="73"/>
      <c r="Y88" s="73"/>
      <c r="Z88" s="91">
        <f>SUM(W88:Y88)</f>
        <v>0</v>
      </c>
      <c r="AA88" s="92">
        <f t="shared" ref="AA88:AA91" si="190">SUM(Z88,V88,R88,N88)</f>
        <v>0</v>
      </c>
      <c r="AB88" s="71"/>
      <c r="AC88" s="72"/>
      <c r="AD88" s="73"/>
      <c r="AE88" s="91">
        <f t="shared" ref="AE88:AE91" si="191">SUM(AB88:AD88)</f>
        <v>0</v>
      </c>
      <c r="AF88" s="73"/>
      <c r="AG88" s="73"/>
      <c r="AH88" s="73"/>
      <c r="AI88" s="91">
        <f>SUM(AF88:AH88)</f>
        <v>0</v>
      </c>
      <c r="AJ88" s="77"/>
      <c r="AK88" s="73"/>
      <c r="AL88" s="73"/>
      <c r="AM88" s="91">
        <f t="shared" ref="AM88:AM91" si="192">SUM(AJ88:AL88)</f>
        <v>0</v>
      </c>
      <c r="AN88" s="73"/>
      <c r="AO88" s="73"/>
      <c r="AP88" s="73"/>
      <c r="AQ88" s="91">
        <f>SUM(AN88:AP88)</f>
        <v>0</v>
      </c>
      <c r="AR88" s="92">
        <f t="shared" ref="AR88:AR93" si="193">SUM(AQ88,AM88,AI88,AE88)</f>
        <v>0</v>
      </c>
    </row>
    <row r="89" spans="1:44" ht="17" outlineLevel="1">
      <c r="A89" s="11" t="s">
        <v>161</v>
      </c>
      <c r="B89" s="11" t="s">
        <v>162</v>
      </c>
      <c r="C89" s="11">
        <v>4620120</v>
      </c>
      <c r="D89" s="10"/>
      <c r="E89" s="4" t="s">
        <v>153</v>
      </c>
      <c r="F89" s="71"/>
      <c r="G89" s="72"/>
      <c r="H89" s="73"/>
      <c r="I89" s="91">
        <f>SUM(F89:H89)</f>
        <v>0</v>
      </c>
      <c r="J89" s="92">
        <f>SUM(I89)</f>
        <v>0</v>
      </c>
      <c r="K89" s="76"/>
      <c r="L89" s="72"/>
      <c r="M89" s="73"/>
      <c r="N89" s="91">
        <f>SUM(K89:M89)</f>
        <v>0</v>
      </c>
      <c r="O89" s="73"/>
      <c r="P89" s="73"/>
      <c r="Q89" s="73"/>
      <c r="R89" s="91">
        <f>SUM(O89:Q89)</f>
        <v>0</v>
      </c>
      <c r="S89" s="77"/>
      <c r="T89" s="73"/>
      <c r="U89" s="73"/>
      <c r="V89" s="91">
        <f>SUM(S89:U89)</f>
        <v>0</v>
      </c>
      <c r="W89" s="73"/>
      <c r="X89" s="73"/>
      <c r="Y89" s="73"/>
      <c r="Z89" s="91">
        <f t="shared" ref="Z89:Z90" si="194">SUM(W89:Y89)</f>
        <v>0</v>
      </c>
      <c r="AA89" s="92">
        <f t="shared" ref="AA89:AA90" si="195">SUM(Z89,V89,R89,N89)</f>
        <v>0</v>
      </c>
      <c r="AB89" s="71"/>
      <c r="AC89" s="72"/>
      <c r="AD89" s="73"/>
      <c r="AE89" s="91">
        <f t="shared" si="191"/>
        <v>0</v>
      </c>
      <c r="AF89" s="73"/>
      <c r="AG89" s="73"/>
      <c r="AH89" s="73"/>
      <c r="AI89" s="91">
        <f t="shared" ref="AI89:AI90" si="196">SUM(AF89:AH89)</f>
        <v>0</v>
      </c>
      <c r="AJ89" s="77"/>
      <c r="AK89" s="73"/>
      <c r="AL89" s="73"/>
      <c r="AM89" s="91">
        <f t="shared" si="192"/>
        <v>0</v>
      </c>
      <c r="AN89" s="73"/>
      <c r="AO89" s="73"/>
      <c r="AP89" s="73"/>
      <c r="AQ89" s="91">
        <f t="shared" ref="AQ89:AQ90" si="197">SUM(AN89:AP89)</f>
        <v>0</v>
      </c>
      <c r="AR89" s="92">
        <f t="shared" si="193"/>
        <v>0</v>
      </c>
    </row>
    <row r="90" spans="1:44" ht="17" outlineLevel="1">
      <c r="A90" s="11" t="s">
        <v>163</v>
      </c>
      <c r="B90" s="11" t="s">
        <v>164</v>
      </c>
      <c r="C90" s="11">
        <v>4620125</v>
      </c>
      <c r="D90" s="10"/>
      <c r="E90" s="4" t="s">
        <v>153</v>
      </c>
      <c r="F90" s="71"/>
      <c r="G90" s="72"/>
      <c r="H90" s="73"/>
      <c r="I90" s="91">
        <f>SUM(F90:H90)</f>
        <v>0</v>
      </c>
      <c r="J90" s="92">
        <f>SUM(I90)</f>
        <v>0</v>
      </c>
      <c r="K90" s="76"/>
      <c r="L90" s="72"/>
      <c r="M90" s="73"/>
      <c r="N90" s="91">
        <f t="shared" si="188"/>
        <v>0</v>
      </c>
      <c r="O90" s="73"/>
      <c r="P90" s="73"/>
      <c r="Q90" s="73"/>
      <c r="R90" s="91">
        <f t="shared" ref="R90" si="198">SUM(O90:Q90)</f>
        <v>0</v>
      </c>
      <c r="S90" s="77"/>
      <c r="T90" s="73"/>
      <c r="U90" s="73"/>
      <c r="V90" s="91">
        <f t="shared" ref="V90" si="199">SUM(S90:U90)</f>
        <v>0</v>
      </c>
      <c r="W90" s="73"/>
      <c r="X90" s="73"/>
      <c r="Y90" s="73"/>
      <c r="Z90" s="91">
        <f t="shared" si="194"/>
        <v>0</v>
      </c>
      <c r="AA90" s="92">
        <f t="shared" si="195"/>
        <v>0</v>
      </c>
      <c r="AB90" s="71"/>
      <c r="AC90" s="72"/>
      <c r="AD90" s="73"/>
      <c r="AE90" s="91">
        <f t="shared" si="191"/>
        <v>0</v>
      </c>
      <c r="AF90" s="73"/>
      <c r="AG90" s="73"/>
      <c r="AH90" s="73"/>
      <c r="AI90" s="91">
        <f t="shared" si="196"/>
        <v>0</v>
      </c>
      <c r="AJ90" s="77"/>
      <c r="AK90" s="73"/>
      <c r="AL90" s="73"/>
      <c r="AM90" s="91">
        <f t="shared" si="192"/>
        <v>0</v>
      </c>
      <c r="AN90" s="73"/>
      <c r="AO90" s="73"/>
      <c r="AP90" s="73"/>
      <c r="AQ90" s="91">
        <f t="shared" si="197"/>
        <v>0</v>
      </c>
      <c r="AR90" s="92">
        <f t="shared" si="193"/>
        <v>0</v>
      </c>
    </row>
    <row r="91" spans="1:44" ht="17" outlineLevel="1">
      <c r="A91" s="11" t="s">
        <v>165</v>
      </c>
      <c r="B91" s="11" t="s">
        <v>166</v>
      </c>
      <c r="C91" s="11">
        <v>4620155</v>
      </c>
      <c r="D91" s="10"/>
      <c r="E91" s="4" t="s">
        <v>153</v>
      </c>
      <c r="F91" s="71"/>
      <c r="G91" s="72"/>
      <c r="H91" s="73"/>
      <c r="I91" s="91">
        <f t="shared" ref="I91:I95" si="200">SUM(F91:H91)</f>
        <v>0</v>
      </c>
      <c r="J91" s="92">
        <f t="shared" ref="J91:J95" si="201">SUM(I91)</f>
        <v>0</v>
      </c>
      <c r="K91" s="76"/>
      <c r="L91" s="72"/>
      <c r="M91" s="73"/>
      <c r="N91" s="91">
        <f t="shared" si="188"/>
        <v>0</v>
      </c>
      <c r="O91" s="73"/>
      <c r="P91" s="73"/>
      <c r="Q91" s="73"/>
      <c r="R91" s="91">
        <f t="shared" ref="R91:R95" si="202">SUM(O91:Q91)</f>
        <v>0</v>
      </c>
      <c r="S91" s="77"/>
      <c r="T91" s="73"/>
      <c r="U91" s="73"/>
      <c r="V91" s="91">
        <f t="shared" si="189"/>
        <v>0</v>
      </c>
      <c r="W91" s="73"/>
      <c r="X91" s="73"/>
      <c r="Y91" s="73"/>
      <c r="Z91" s="91">
        <f t="shared" ref="Z91:Z95" si="203">SUM(W91:Y91)</f>
        <v>0</v>
      </c>
      <c r="AA91" s="92">
        <f t="shared" si="190"/>
        <v>0</v>
      </c>
      <c r="AB91" s="71"/>
      <c r="AC91" s="72"/>
      <c r="AD91" s="73"/>
      <c r="AE91" s="91">
        <f t="shared" si="191"/>
        <v>0</v>
      </c>
      <c r="AF91" s="73"/>
      <c r="AG91" s="73"/>
      <c r="AH91" s="73"/>
      <c r="AI91" s="91">
        <f t="shared" ref="AI91:AI92" si="204">SUM(AF91:AH91)</f>
        <v>0</v>
      </c>
      <c r="AJ91" s="77"/>
      <c r="AK91" s="73"/>
      <c r="AL91" s="73"/>
      <c r="AM91" s="91">
        <f t="shared" si="192"/>
        <v>0</v>
      </c>
      <c r="AN91" s="73"/>
      <c r="AO91" s="73"/>
      <c r="AP91" s="73"/>
      <c r="AQ91" s="91">
        <f t="shared" ref="AQ91:AQ93" si="205">SUM(AN91:AP91)</f>
        <v>0</v>
      </c>
      <c r="AR91" s="92">
        <f t="shared" si="193"/>
        <v>0</v>
      </c>
    </row>
    <row r="92" spans="1:44" ht="17" outlineLevel="1">
      <c r="A92" s="11" t="s">
        <v>167</v>
      </c>
      <c r="B92" s="11" t="s">
        <v>168</v>
      </c>
      <c r="C92" s="11">
        <v>4620160</v>
      </c>
      <c r="D92" s="10"/>
      <c r="E92" s="4" t="s">
        <v>153</v>
      </c>
      <c r="F92" s="71"/>
      <c r="G92" s="76"/>
      <c r="H92" s="73"/>
      <c r="I92" s="91">
        <f t="shared" si="200"/>
        <v>0</v>
      </c>
      <c r="J92" s="92">
        <f t="shared" si="201"/>
        <v>0</v>
      </c>
      <c r="K92" s="76"/>
      <c r="L92" s="76">
        <v>2</v>
      </c>
      <c r="M92" s="73"/>
      <c r="N92" s="91">
        <f t="shared" si="188"/>
        <v>2</v>
      </c>
      <c r="O92" s="76"/>
      <c r="P92" s="76">
        <v>1</v>
      </c>
      <c r="Q92" s="73"/>
      <c r="R92" s="91">
        <f t="shared" si="202"/>
        <v>1</v>
      </c>
      <c r="S92" s="76"/>
      <c r="T92" s="76">
        <v>2</v>
      </c>
      <c r="U92" s="73"/>
      <c r="V92" s="91">
        <f t="shared" si="189"/>
        <v>2</v>
      </c>
      <c r="W92" s="76"/>
      <c r="X92" s="76">
        <v>1</v>
      </c>
      <c r="Y92" s="73"/>
      <c r="Z92" s="91">
        <f t="shared" si="203"/>
        <v>1</v>
      </c>
      <c r="AA92" s="92">
        <f>SUM(Z92,V92,R92,N92)</f>
        <v>6</v>
      </c>
      <c r="AB92" s="71"/>
      <c r="AC92" s="76">
        <v>2</v>
      </c>
      <c r="AD92" s="73"/>
      <c r="AE92" s="91">
        <f>SUM(AB92:AD92)</f>
        <v>2</v>
      </c>
      <c r="AF92" s="76"/>
      <c r="AG92" s="76">
        <v>1</v>
      </c>
      <c r="AH92" s="73"/>
      <c r="AI92" s="91">
        <f t="shared" si="204"/>
        <v>1</v>
      </c>
      <c r="AJ92" s="76"/>
      <c r="AK92" s="76">
        <v>2</v>
      </c>
      <c r="AL92" s="73"/>
      <c r="AM92" s="91">
        <f>SUM(AJ92:AL92)</f>
        <v>2</v>
      </c>
      <c r="AN92" s="76"/>
      <c r="AO92" s="76">
        <v>1</v>
      </c>
      <c r="AP92" s="73">
        <v>1</v>
      </c>
      <c r="AQ92" s="91">
        <f t="shared" si="205"/>
        <v>2</v>
      </c>
      <c r="AR92" s="92">
        <f t="shared" si="193"/>
        <v>7</v>
      </c>
    </row>
    <row r="93" spans="1:44" ht="17" outlineLevel="1">
      <c r="A93" s="11" t="s">
        <v>169</v>
      </c>
      <c r="B93" s="11" t="s">
        <v>170</v>
      </c>
      <c r="C93" s="11">
        <v>4620165</v>
      </c>
      <c r="D93" s="10"/>
      <c r="E93" s="4" t="s">
        <v>153</v>
      </c>
      <c r="F93" s="71"/>
      <c r="G93" s="76"/>
      <c r="H93" s="73"/>
      <c r="I93" s="91">
        <f t="shared" si="200"/>
        <v>0</v>
      </c>
      <c r="J93" s="92">
        <f t="shared" si="201"/>
        <v>0</v>
      </c>
      <c r="K93" s="76"/>
      <c r="L93" s="76"/>
      <c r="M93" s="73"/>
      <c r="N93" s="91">
        <f t="shared" si="188"/>
        <v>0</v>
      </c>
      <c r="O93" s="76"/>
      <c r="P93" s="76"/>
      <c r="Q93" s="73"/>
      <c r="R93" s="91">
        <f t="shared" si="202"/>
        <v>0</v>
      </c>
      <c r="S93" s="76"/>
      <c r="T93" s="76"/>
      <c r="U93" s="73"/>
      <c r="V93" s="91">
        <f t="shared" si="189"/>
        <v>0</v>
      </c>
      <c r="W93" s="76"/>
      <c r="X93" s="76"/>
      <c r="Y93" s="73"/>
      <c r="Z93" s="91">
        <f t="shared" si="203"/>
        <v>0</v>
      </c>
      <c r="AA93" s="92">
        <f t="shared" ref="AA93:AA95" si="206">SUM(Z93,V93,R93,N93)</f>
        <v>0</v>
      </c>
      <c r="AB93" s="71"/>
      <c r="AC93" s="76"/>
      <c r="AD93" s="73"/>
      <c r="AE93" s="91">
        <f t="shared" ref="AE93:AE95" si="207">SUM(AB93:AD93)</f>
        <v>0</v>
      </c>
      <c r="AF93" s="76"/>
      <c r="AG93" s="76"/>
      <c r="AH93" s="73"/>
      <c r="AI93" s="91">
        <f>SUM(AF93:AH93)</f>
        <v>0</v>
      </c>
      <c r="AJ93" s="76"/>
      <c r="AK93" s="76"/>
      <c r="AL93" s="73"/>
      <c r="AM93" s="91">
        <f t="shared" ref="AM93:AM95" si="208">SUM(AJ93:AL93)</f>
        <v>0</v>
      </c>
      <c r="AN93" s="76"/>
      <c r="AO93" s="76"/>
      <c r="AP93" s="73"/>
      <c r="AQ93" s="91">
        <f t="shared" si="205"/>
        <v>0</v>
      </c>
      <c r="AR93" s="92">
        <f t="shared" si="193"/>
        <v>0</v>
      </c>
    </row>
    <row r="94" spans="1:44" ht="17" outlineLevel="1">
      <c r="A94" s="11" t="s">
        <v>171</v>
      </c>
      <c r="B94" s="11" t="s">
        <v>172</v>
      </c>
      <c r="C94" s="11">
        <v>4620170</v>
      </c>
      <c r="D94" s="10"/>
      <c r="E94" s="4" t="s">
        <v>153</v>
      </c>
      <c r="F94" s="71"/>
      <c r="G94" s="76"/>
      <c r="H94" s="73"/>
      <c r="I94" s="91">
        <f t="shared" si="200"/>
        <v>0</v>
      </c>
      <c r="J94" s="92">
        <f t="shared" si="201"/>
        <v>0</v>
      </c>
      <c r="K94" s="76"/>
      <c r="L94" s="76"/>
      <c r="M94" s="73"/>
      <c r="N94" s="91">
        <f t="shared" si="188"/>
        <v>0</v>
      </c>
      <c r="O94" s="76"/>
      <c r="P94" s="76"/>
      <c r="Q94" s="73"/>
      <c r="R94" s="91">
        <f t="shared" si="202"/>
        <v>0</v>
      </c>
      <c r="S94" s="76"/>
      <c r="T94" s="76"/>
      <c r="U94" s="73"/>
      <c r="V94" s="91">
        <f t="shared" si="189"/>
        <v>0</v>
      </c>
      <c r="W94" s="76"/>
      <c r="X94" s="76"/>
      <c r="Y94" s="73"/>
      <c r="Z94" s="91">
        <f t="shared" si="203"/>
        <v>0</v>
      </c>
      <c r="AA94" s="92">
        <f t="shared" si="206"/>
        <v>0</v>
      </c>
      <c r="AB94" s="71"/>
      <c r="AC94" s="76">
        <v>1</v>
      </c>
      <c r="AD94" s="73"/>
      <c r="AE94" s="91">
        <f t="shared" si="207"/>
        <v>1</v>
      </c>
      <c r="AF94" s="76"/>
      <c r="AG94" s="76"/>
      <c r="AH94" s="73"/>
      <c r="AI94" s="91">
        <f t="shared" ref="AI94:AI95" si="209">SUM(AF94:AH94)</f>
        <v>0</v>
      </c>
      <c r="AJ94" s="76"/>
      <c r="AK94" s="76"/>
      <c r="AL94" s="73"/>
      <c r="AM94" s="91">
        <f t="shared" si="208"/>
        <v>0</v>
      </c>
      <c r="AN94" s="76"/>
      <c r="AO94" s="76"/>
      <c r="AP94" s="73">
        <v>1</v>
      </c>
      <c r="AQ94" s="91">
        <f>SUM(AN94:AP94)</f>
        <v>1</v>
      </c>
      <c r="AR94" s="92">
        <f>SUM(AQ94,AM94,AI94,AE94)</f>
        <v>2</v>
      </c>
    </row>
    <row r="95" spans="1:44" ht="18" outlineLevel="1" thickBot="1">
      <c r="A95" s="18" t="s">
        <v>173</v>
      </c>
      <c r="B95" s="18" t="s">
        <v>174</v>
      </c>
      <c r="C95" s="18">
        <v>4620310</v>
      </c>
      <c r="D95" s="13"/>
      <c r="E95" s="4" t="s">
        <v>153</v>
      </c>
      <c r="F95" s="78"/>
      <c r="G95" s="79"/>
      <c r="H95" s="80"/>
      <c r="I95" s="93">
        <f t="shared" si="200"/>
        <v>0</v>
      </c>
      <c r="J95" s="94">
        <f t="shared" si="201"/>
        <v>0</v>
      </c>
      <c r="K95" s="80"/>
      <c r="L95" s="79">
        <v>2</v>
      </c>
      <c r="M95" s="80"/>
      <c r="N95" s="93">
        <f t="shared" si="188"/>
        <v>2</v>
      </c>
      <c r="O95" s="79"/>
      <c r="P95" s="79"/>
      <c r="Q95" s="80"/>
      <c r="R95" s="93">
        <f t="shared" si="202"/>
        <v>0</v>
      </c>
      <c r="S95" s="80"/>
      <c r="T95" s="80">
        <v>3</v>
      </c>
      <c r="U95" s="80"/>
      <c r="V95" s="93">
        <f t="shared" si="189"/>
        <v>3</v>
      </c>
      <c r="W95" s="80"/>
      <c r="X95" s="80"/>
      <c r="Y95" s="80"/>
      <c r="Z95" s="93">
        <f t="shared" si="203"/>
        <v>0</v>
      </c>
      <c r="AA95" s="94">
        <f t="shared" si="206"/>
        <v>5</v>
      </c>
      <c r="AB95" s="78"/>
      <c r="AC95" s="79"/>
      <c r="AD95" s="80">
        <v>3</v>
      </c>
      <c r="AE95" s="93">
        <f t="shared" si="207"/>
        <v>3</v>
      </c>
      <c r="AF95" s="79"/>
      <c r="AG95" s="79"/>
      <c r="AH95" s="80"/>
      <c r="AI95" s="93">
        <f t="shared" si="209"/>
        <v>0</v>
      </c>
      <c r="AJ95" s="80"/>
      <c r="AK95" s="80"/>
      <c r="AL95" s="80">
        <v>3</v>
      </c>
      <c r="AM95" s="93">
        <f t="shared" si="208"/>
        <v>3</v>
      </c>
      <c r="AN95" s="80"/>
      <c r="AO95" s="80"/>
      <c r="AP95" s="80"/>
      <c r="AQ95" s="93">
        <f t="shared" ref="AQ95" si="210">SUM(AN95:AP95)</f>
        <v>0</v>
      </c>
      <c r="AR95" s="94">
        <f t="shared" ref="AR95" si="211">SUM(AQ95,AM95,AI95,AE95)</f>
        <v>6</v>
      </c>
    </row>
    <row r="96" spans="1:44" ht="16" thickBot="1">
      <c r="A96" s="102" t="s">
        <v>56</v>
      </c>
      <c r="B96" s="103"/>
      <c r="C96" s="103"/>
      <c r="D96" s="103"/>
      <c r="E96" s="104"/>
      <c r="F96" s="98">
        <v>0</v>
      </c>
      <c r="G96" s="98">
        <v>0</v>
      </c>
      <c r="H96" s="98">
        <v>0</v>
      </c>
      <c r="I96" s="84">
        <f>SUM(I87:I95)</f>
        <v>0</v>
      </c>
      <c r="J96" s="87">
        <f>SUM(J87:J95)</f>
        <v>0</v>
      </c>
      <c r="K96" s="98">
        <v>0</v>
      </c>
      <c r="L96" s="98">
        <v>0</v>
      </c>
      <c r="M96" s="98">
        <v>0</v>
      </c>
      <c r="N96" s="86">
        <f>SUM(N87:N95)</f>
        <v>4</v>
      </c>
      <c r="O96" s="98">
        <v>0</v>
      </c>
      <c r="P96" s="98">
        <v>0</v>
      </c>
      <c r="Q96" s="98">
        <v>0</v>
      </c>
      <c r="R96" s="86">
        <f>SUM(R87:R95)</f>
        <v>1</v>
      </c>
      <c r="S96" s="98">
        <v>0</v>
      </c>
      <c r="T96" s="98">
        <v>0</v>
      </c>
      <c r="U96" s="98">
        <v>0</v>
      </c>
      <c r="V96" s="86">
        <f>SUM(V87:V95)</f>
        <v>5</v>
      </c>
      <c r="W96" s="98">
        <v>0</v>
      </c>
      <c r="X96" s="98">
        <v>0</v>
      </c>
      <c r="Y96" s="98">
        <v>0</v>
      </c>
      <c r="Z96" s="86">
        <f>SUM(Z87:Z95)</f>
        <v>1</v>
      </c>
      <c r="AA96" s="87">
        <f>SUM(AA87:AA95)</f>
        <v>11</v>
      </c>
      <c r="AB96" s="98">
        <v>0</v>
      </c>
      <c r="AC96" s="98">
        <v>0</v>
      </c>
      <c r="AD96" s="98">
        <v>0</v>
      </c>
      <c r="AE96" s="86">
        <f>SUM(AE87:AE95)</f>
        <v>6</v>
      </c>
      <c r="AF96" s="98">
        <v>0</v>
      </c>
      <c r="AG96" s="98">
        <v>0</v>
      </c>
      <c r="AH96" s="98">
        <v>0</v>
      </c>
      <c r="AI96" s="86">
        <f>SUM(AI87:AI95)</f>
        <v>1</v>
      </c>
      <c r="AJ96" s="98">
        <v>0</v>
      </c>
      <c r="AK96" s="98">
        <v>0</v>
      </c>
      <c r="AL96" s="98">
        <v>0</v>
      </c>
      <c r="AM96" s="86">
        <f>SUM(AM87:AM95)</f>
        <v>5</v>
      </c>
      <c r="AN96" s="98">
        <v>0</v>
      </c>
      <c r="AO96" s="98">
        <v>0</v>
      </c>
      <c r="AP96" s="98">
        <v>0</v>
      </c>
      <c r="AQ96" s="86">
        <f>SUM(AQ87:AQ95)</f>
        <v>3</v>
      </c>
      <c r="AR96" s="87">
        <f>SUM(AR87:AR95)</f>
        <v>15</v>
      </c>
    </row>
    <row r="97" spans="1:44" ht="16" thickBot="1">
      <c r="A97" s="40"/>
      <c r="B97" s="40"/>
      <c r="C97" s="40"/>
      <c r="D97" s="40"/>
      <c r="E97" s="49"/>
      <c r="F97" s="49"/>
      <c r="G97" s="49"/>
      <c r="H97" s="49"/>
      <c r="I97" s="49"/>
      <c r="J97" s="56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6"/>
      <c r="AB97" s="57"/>
      <c r="AC97" s="58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  <c r="AO97" s="49"/>
      <c r="AP97" s="49"/>
      <c r="AQ97" s="49"/>
      <c r="AR97" s="49"/>
    </row>
    <row r="98" spans="1:44" ht="19" thickBot="1">
      <c r="A98" s="116" t="s">
        <v>150</v>
      </c>
      <c r="B98" s="117"/>
      <c r="C98" s="117"/>
      <c r="D98" s="117"/>
      <c r="E98" s="118"/>
      <c r="F98" s="49"/>
      <c r="G98" s="49"/>
      <c r="H98" s="49"/>
      <c r="I98" s="49"/>
      <c r="J98" s="56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6"/>
      <c r="AB98" s="57"/>
      <c r="AC98" s="58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  <c r="AO98" s="49"/>
      <c r="AP98" s="49"/>
      <c r="AQ98" s="49"/>
      <c r="AR98" s="49"/>
    </row>
    <row r="99" spans="1:44" ht="18" outlineLevel="1" thickBot="1">
      <c r="A99" s="50" t="s">
        <v>175</v>
      </c>
      <c r="B99" s="52" t="s">
        <v>176</v>
      </c>
      <c r="C99" s="55">
        <v>4640110</v>
      </c>
      <c r="D99" s="53"/>
      <c r="E99" s="14" t="s">
        <v>153</v>
      </c>
      <c r="F99" s="64"/>
      <c r="G99" s="69"/>
      <c r="H99" s="66"/>
      <c r="I99" s="89">
        <f t="shared" ref="I99" si="212">SUM(F99:H99)</f>
        <v>0</v>
      </c>
      <c r="J99" s="90">
        <f t="shared" ref="J99" si="213">SUM(I99)</f>
        <v>0</v>
      </c>
      <c r="K99" s="69"/>
      <c r="L99" s="69">
        <v>10</v>
      </c>
      <c r="M99" s="66"/>
      <c r="N99" s="89">
        <f t="shared" ref="N99" si="214">SUM(K99:M99)</f>
        <v>10</v>
      </c>
      <c r="O99" s="69"/>
      <c r="P99" s="69">
        <v>15</v>
      </c>
      <c r="Q99" s="66"/>
      <c r="R99" s="89">
        <f t="shared" ref="R99" si="215">SUM(O99:Q99)</f>
        <v>15</v>
      </c>
      <c r="S99" s="69"/>
      <c r="T99" s="69">
        <v>20</v>
      </c>
      <c r="U99" s="66"/>
      <c r="V99" s="89">
        <f t="shared" ref="V99" si="216">SUM(S99:U99)</f>
        <v>20</v>
      </c>
      <c r="W99" s="69"/>
      <c r="X99" s="69">
        <v>10</v>
      </c>
      <c r="Y99" s="66"/>
      <c r="Z99" s="89">
        <f t="shared" ref="Z99" si="217">SUM(W99:Y99)</f>
        <v>10</v>
      </c>
      <c r="AA99" s="90">
        <f t="shared" ref="AA99" si="218">SUM(Z99,V99,R99,N99)</f>
        <v>55</v>
      </c>
      <c r="AB99" s="64"/>
      <c r="AC99" s="69">
        <v>20</v>
      </c>
      <c r="AD99" s="66"/>
      <c r="AE99" s="89">
        <f t="shared" ref="AE99" si="219">SUM(AB99:AD99)</f>
        <v>20</v>
      </c>
      <c r="AF99" s="69"/>
      <c r="AG99" s="69">
        <v>15</v>
      </c>
      <c r="AH99" s="66"/>
      <c r="AI99" s="89">
        <f t="shared" ref="AI99" si="220">SUM(AF99:AH99)</f>
        <v>15</v>
      </c>
      <c r="AJ99" s="69"/>
      <c r="AK99" s="69">
        <v>20</v>
      </c>
      <c r="AL99" s="66"/>
      <c r="AM99" s="89">
        <f t="shared" ref="AM99" si="221">SUM(AJ99:AL99)</f>
        <v>20</v>
      </c>
      <c r="AN99" s="69"/>
      <c r="AO99" s="69">
        <v>15</v>
      </c>
      <c r="AP99" s="66"/>
      <c r="AQ99" s="89">
        <f>SUM(AN99:AP99)</f>
        <v>15</v>
      </c>
      <c r="AR99" s="90">
        <f>SUM(AQ99,AM99,AI99,AE99)</f>
        <v>70</v>
      </c>
    </row>
    <row r="100" spans="1:44" ht="16" thickBot="1">
      <c r="A100" s="102" t="s">
        <v>56</v>
      </c>
      <c r="B100" s="103"/>
      <c r="C100" s="103"/>
      <c r="D100" s="103"/>
      <c r="E100" s="104"/>
      <c r="F100" s="83">
        <f t="shared" ref="F100:AR100" si="222">SUM(F99:F99)</f>
        <v>0</v>
      </c>
      <c r="G100" s="83">
        <f t="shared" si="222"/>
        <v>0</v>
      </c>
      <c r="H100" s="83">
        <f t="shared" si="222"/>
        <v>0</v>
      </c>
      <c r="I100" s="84">
        <f t="shared" si="222"/>
        <v>0</v>
      </c>
      <c r="J100" s="87">
        <f t="shared" si="222"/>
        <v>0</v>
      </c>
      <c r="K100" s="83">
        <f t="shared" si="222"/>
        <v>0</v>
      </c>
      <c r="L100" s="83">
        <f t="shared" si="222"/>
        <v>10</v>
      </c>
      <c r="M100" s="83">
        <f t="shared" si="222"/>
        <v>0</v>
      </c>
      <c r="N100" s="86">
        <f t="shared" si="222"/>
        <v>10</v>
      </c>
      <c r="O100" s="83">
        <f t="shared" si="222"/>
        <v>0</v>
      </c>
      <c r="P100" s="83">
        <f t="shared" si="222"/>
        <v>15</v>
      </c>
      <c r="Q100" s="83">
        <f t="shared" si="222"/>
        <v>0</v>
      </c>
      <c r="R100" s="86">
        <f t="shared" si="222"/>
        <v>15</v>
      </c>
      <c r="S100" s="83">
        <f t="shared" si="222"/>
        <v>0</v>
      </c>
      <c r="T100" s="83">
        <f t="shared" si="222"/>
        <v>20</v>
      </c>
      <c r="U100" s="83">
        <f t="shared" si="222"/>
        <v>0</v>
      </c>
      <c r="V100" s="86">
        <f t="shared" si="222"/>
        <v>20</v>
      </c>
      <c r="W100" s="83">
        <f t="shared" si="222"/>
        <v>0</v>
      </c>
      <c r="X100" s="83">
        <f t="shared" si="222"/>
        <v>10</v>
      </c>
      <c r="Y100" s="83">
        <f t="shared" si="222"/>
        <v>0</v>
      </c>
      <c r="Z100" s="86">
        <f t="shared" si="222"/>
        <v>10</v>
      </c>
      <c r="AA100" s="87">
        <f t="shared" si="222"/>
        <v>55</v>
      </c>
      <c r="AB100" s="83">
        <f t="shared" si="222"/>
        <v>0</v>
      </c>
      <c r="AC100" s="83">
        <f t="shared" si="222"/>
        <v>20</v>
      </c>
      <c r="AD100" s="83">
        <f t="shared" si="222"/>
        <v>0</v>
      </c>
      <c r="AE100" s="86">
        <f t="shared" si="222"/>
        <v>20</v>
      </c>
      <c r="AF100" s="83">
        <f t="shared" si="222"/>
        <v>0</v>
      </c>
      <c r="AG100" s="83">
        <f t="shared" si="222"/>
        <v>15</v>
      </c>
      <c r="AH100" s="83">
        <f t="shared" si="222"/>
        <v>0</v>
      </c>
      <c r="AI100" s="86">
        <f t="shared" si="222"/>
        <v>15</v>
      </c>
      <c r="AJ100" s="83">
        <f t="shared" si="222"/>
        <v>0</v>
      </c>
      <c r="AK100" s="83">
        <f t="shared" si="222"/>
        <v>20</v>
      </c>
      <c r="AL100" s="83">
        <f t="shared" si="222"/>
        <v>0</v>
      </c>
      <c r="AM100" s="86">
        <f t="shared" si="222"/>
        <v>20</v>
      </c>
      <c r="AN100" s="83">
        <f t="shared" si="222"/>
        <v>0</v>
      </c>
      <c r="AO100" s="83">
        <f t="shared" si="222"/>
        <v>15</v>
      </c>
      <c r="AP100" s="83">
        <f t="shared" si="222"/>
        <v>0</v>
      </c>
      <c r="AQ100" s="86">
        <f t="shared" si="222"/>
        <v>15</v>
      </c>
      <c r="AR100" s="87">
        <f t="shared" si="222"/>
        <v>70</v>
      </c>
    </row>
    <row r="101" spans="1:44" s="40" customFormat="1">
      <c r="E101" s="49"/>
      <c r="F101" s="49"/>
      <c r="G101" s="49"/>
      <c r="H101" s="49"/>
      <c r="I101" s="49"/>
      <c r="J101" s="56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6"/>
      <c r="AB101" s="57"/>
      <c r="AC101" s="58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  <c r="AO101" s="49"/>
      <c r="AP101" s="49"/>
      <c r="AQ101" s="49"/>
      <c r="AR101" s="49"/>
    </row>
    <row r="102" spans="1:44" s="40" customFormat="1">
      <c r="E102" s="49"/>
      <c r="F102" s="49"/>
      <c r="G102" s="49"/>
      <c r="H102" s="49"/>
      <c r="I102" s="49"/>
      <c r="J102" s="56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6"/>
      <c r="AB102" s="57"/>
      <c r="AC102" s="58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  <c r="AO102" s="49"/>
      <c r="AP102" s="49"/>
      <c r="AQ102" s="49"/>
      <c r="AR102" s="49"/>
    </row>
    <row r="103" spans="1:44" s="40" customFormat="1">
      <c r="E103" s="49"/>
      <c r="F103" s="49"/>
      <c r="G103" s="49"/>
      <c r="H103" s="49"/>
      <c r="I103" s="49"/>
      <c r="J103" s="56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6"/>
      <c r="AB103" s="57"/>
      <c r="AC103" s="58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  <c r="AO103" s="49"/>
      <c r="AP103" s="49"/>
      <c r="AQ103" s="49"/>
      <c r="AR103" s="49"/>
    </row>
    <row r="104" spans="1:44" s="40" customFormat="1">
      <c r="E104" s="49"/>
      <c r="F104" s="49"/>
      <c r="G104" s="49"/>
      <c r="H104" s="49"/>
      <c r="I104" s="49"/>
      <c r="J104" s="56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6"/>
      <c r="AB104" s="57"/>
      <c r="AC104" s="58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  <c r="AO104" s="49"/>
      <c r="AP104" s="49"/>
      <c r="AQ104" s="49"/>
      <c r="AR104" s="49"/>
    </row>
    <row r="105" spans="1:44" s="40" customFormat="1">
      <c r="E105" s="49"/>
      <c r="F105" s="49"/>
      <c r="G105" s="49"/>
      <c r="H105" s="49"/>
      <c r="I105" s="49"/>
      <c r="J105" s="56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6"/>
      <c r="AB105" s="57"/>
      <c r="AC105" s="58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  <c r="AO105" s="49"/>
      <c r="AP105" s="49"/>
      <c r="AQ105" s="49"/>
      <c r="AR105" s="49"/>
    </row>
    <row r="106" spans="1:44" s="40" customFormat="1">
      <c r="E106" s="49"/>
      <c r="F106" s="49"/>
      <c r="G106" s="49"/>
      <c r="H106" s="49"/>
      <c r="I106" s="49"/>
      <c r="J106" s="56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6"/>
      <c r="AB106" s="57"/>
      <c r="AC106" s="58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  <c r="AO106" s="49"/>
      <c r="AP106" s="49"/>
      <c r="AQ106" s="49"/>
      <c r="AR106" s="49"/>
    </row>
    <row r="107" spans="1:44" s="40" customFormat="1">
      <c r="E107" s="49"/>
      <c r="F107" s="49"/>
      <c r="G107" s="49"/>
      <c r="H107" s="49"/>
      <c r="I107" s="49"/>
      <c r="J107" s="56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6"/>
      <c r="AB107" s="57"/>
      <c r="AC107" s="58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  <c r="AO107" s="49"/>
      <c r="AP107" s="49"/>
      <c r="AQ107" s="49"/>
      <c r="AR107" s="49"/>
    </row>
    <row r="108" spans="1:44" s="40" customFormat="1">
      <c r="E108" s="49"/>
      <c r="F108" s="49"/>
      <c r="G108" s="49"/>
      <c r="H108" s="49"/>
      <c r="I108" s="49"/>
      <c r="J108" s="56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6"/>
      <c r="AB108" s="57"/>
      <c r="AC108" s="58"/>
      <c r="AD108" s="49"/>
      <c r="AE108" s="49"/>
      <c r="AF108" s="49"/>
      <c r="AG108" s="49"/>
      <c r="AH108" s="49"/>
      <c r="AI108" s="49"/>
      <c r="AJ108" s="49"/>
      <c r="AK108" s="49"/>
      <c r="AL108" s="49"/>
      <c r="AM108" s="49"/>
      <c r="AN108" s="49"/>
      <c r="AO108" s="49"/>
      <c r="AP108" s="49"/>
      <c r="AQ108" s="49"/>
      <c r="AR108" s="49"/>
    </row>
    <row r="109" spans="1:44" s="40" customFormat="1">
      <c r="E109" s="49"/>
      <c r="F109" s="49"/>
      <c r="G109" s="49"/>
      <c r="H109" s="49"/>
      <c r="I109" s="49"/>
      <c r="J109" s="56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6"/>
      <c r="AB109" s="57"/>
      <c r="AC109" s="58"/>
      <c r="AD109" s="49"/>
      <c r="AE109" s="49"/>
      <c r="AF109" s="49"/>
      <c r="AG109" s="49"/>
      <c r="AH109" s="49"/>
      <c r="AI109" s="49"/>
      <c r="AJ109" s="49"/>
      <c r="AK109" s="49"/>
      <c r="AL109" s="49"/>
      <c r="AM109" s="49"/>
      <c r="AN109" s="49"/>
      <c r="AO109" s="49"/>
      <c r="AP109" s="49"/>
      <c r="AQ109" s="49"/>
      <c r="AR109" s="49"/>
    </row>
    <row r="110" spans="1:44" s="40" customFormat="1">
      <c r="E110" s="49"/>
      <c r="F110" s="49"/>
      <c r="G110" s="49"/>
      <c r="H110" s="49"/>
      <c r="I110" s="49"/>
      <c r="J110" s="56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6"/>
      <c r="AB110" s="57"/>
      <c r="AC110" s="58"/>
      <c r="AD110" s="49"/>
      <c r="AE110" s="49"/>
      <c r="AF110" s="49"/>
      <c r="AG110" s="49"/>
      <c r="AH110" s="49"/>
      <c r="AI110" s="49"/>
      <c r="AJ110" s="49"/>
      <c r="AK110" s="49"/>
      <c r="AL110" s="49"/>
      <c r="AM110" s="49"/>
      <c r="AN110" s="49"/>
      <c r="AO110" s="49"/>
      <c r="AP110" s="49"/>
      <c r="AQ110" s="49"/>
      <c r="AR110" s="49"/>
    </row>
    <row r="111" spans="1:44" s="40" customFormat="1">
      <c r="E111" s="49"/>
      <c r="F111" s="49"/>
      <c r="G111" s="49"/>
      <c r="H111" s="49"/>
      <c r="I111" s="49"/>
      <c r="J111" s="56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6"/>
      <c r="AB111" s="57"/>
      <c r="AC111" s="58"/>
      <c r="AD111" s="49"/>
      <c r="AE111" s="49"/>
      <c r="AF111" s="49"/>
      <c r="AG111" s="49"/>
      <c r="AH111" s="49"/>
      <c r="AI111" s="49"/>
      <c r="AJ111" s="49"/>
      <c r="AK111" s="49"/>
      <c r="AL111" s="49"/>
      <c r="AM111" s="49"/>
      <c r="AN111" s="49"/>
      <c r="AO111" s="49"/>
      <c r="AP111" s="49"/>
      <c r="AQ111" s="49"/>
      <c r="AR111" s="49"/>
    </row>
    <row r="112" spans="1:44" s="40" customFormat="1">
      <c r="E112" s="49"/>
      <c r="F112" s="49"/>
      <c r="G112" s="49"/>
      <c r="H112" s="49"/>
      <c r="I112" s="49"/>
      <c r="J112" s="56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6"/>
      <c r="AB112" s="57"/>
      <c r="AC112" s="58"/>
      <c r="AD112" s="49"/>
      <c r="AE112" s="49"/>
      <c r="AF112" s="49"/>
      <c r="AG112" s="49"/>
      <c r="AH112" s="49"/>
      <c r="AI112" s="49"/>
      <c r="AJ112" s="49"/>
      <c r="AK112" s="49"/>
      <c r="AL112" s="49"/>
      <c r="AM112" s="49"/>
      <c r="AN112" s="49"/>
      <c r="AO112" s="49"/>
      <c r="AP112" s="49"/>
      <c r="AQ112" s="49"/>
      <c r="AR112" s="49"/>
    </row>
    <row r="113" spans="5:44" s="40" customFormat="1">
      <c r="E113" s="49"/>
      <c r="F113" s="49"/>
      <c r="G113" s="49"/>
      <c r="H113" s="49"/>
      <c r="I113" s="49"/>
      <c r="J113" s="56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6"/>
      <c r="AB113" s="57"/>
      <c r="AC113" s="58"/>
      <c r="AD113" s="49"/>
      <c r="AE113" s="49"/>
      <c r="AF113" s="49"/>
      <c r="AG113" s="49"/>
      <c r="AH113" s="49"/>
      <c r="AI113" s="49"/>
      <c r="AJ113" s="49"/>
      <c r="AK113" s="49"/>
      <c r="AL113" s="49"/>
      <c r="AM113" s="49"/>
      <c r="AN113" s="49"/>
      <c r="AO113" s="49"/>
      <c r="AP113" s="49"/>
      <c r="AQ113" s="49"/>
      <c r="AR113" s="49"/>
    </row>
    <row r="114" spans="5:44" s="40" customFormat="1">
      <c r="E114" s="49"/>
      <c r="F114" s="49"/>
      <c r="G114" s="49"/>
      <c r="H114" s="49"/>
      <c r="I114" s="49"/>
      <c r="J114" s="56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6"/>
      <c r="AB114" s="57"/>
      <c r="AC114" s="58"/>
      <c r="AD114" s="49"/>
      <c r="AE114" s="49"/>
      <c r="AF114" s="49"/>
      <c r="AG114" s="49"/>
      <c r="AH114" s="49"/>
      <c r="AI114" s="49"/>
      <c r="AJ114" s="49"/>
      <c r="AK114" s="49"/>
      <c r="AL114" s="49"/>
      <c r="AM114" s="49"/>
      <c r="AN114" s="49"/>
      <c r="AO114" s="49"/>
      <c r="AP114" s="49"/>
      <c r="AQ114" s="49"/>
      <c r="AR114" s="49"/>
    </row>
    <row r="115" spans="5:44" s="40" customFormat="1">
      <c r="E115" s="49"/>
      <c r="F115" s="49"/>
      <c r="G115" s="49"/>
      <c r="H115" s="49"/>
      <c r="I115" s="49"/>
      <c r="J115" s="56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6"/>
      <c r="AB115" s="57"/>
      <c r="AC115" s="58"/>
      <c r="AD115" s="49"/>
      <c r="AE115" s="49"/>
      <c r="AF115" s="49"/>
      <c r="AG115" s="49"/>
      <c r="AH115" s="49"/>
      <c r="AI115" s="49"/>
      <c r="AJ115" s="49"/>
      <c r="AK115" s="49"/>
      <c r="AL115" s="49"/>
      <c r="AM115" s="49"/>
      <c r="AN115" s="49"/>
      <c r="AO115" s="49"/>
      <c r="AP115" s="49"/>
      <c r="AQ115" s="49"/>
      <c r="AR115" s="49"/>
    </row>
    <row r="116" spans="5:44" s="40" customFormat="1">
      <c r="E116" s="49"/>
      <c r="F116" s="49"/>
      <c r="G116" s="49"/>
      <c r="H116" s="49"/>
      <c r="I116" s="49"/>
      <c r="J116" s="56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6"/>
      <c r="AB116" s="57"/>
      <c r="AC116" s="58"/>
      <c r="AD116" s="49"/>
      <c r="AE116" s="49"/>
      <c r="AF116" s="49"/>
      <c r="AG116" s="49"/>
      <c r="AH116" s="49"/>
      <c r="AI116" s="49"/>
      <c r="AJ116" s="49"/>
      <c r="AK116" s="49"/>
      <c r="AL116" s="49"/>
      <c r="AM116" s="49"/>
      <c r="AN116" s="49"/>
      <c r="AO116" s="49"/>
      <c r="AP116" s="49"/>
      <c r="AQ116" s="49"/>
      <c r="AR116" s="49"/>
    </row>
    <row r="117" spans="5:44" s="40" customFormat="1">
      <c r="E117" s="49"/>
      <c r="F117" s="49"/>
      <c r="G117" s="49"/>
      <c r="H117" s="49"/>
      <c r="I117" s="49"/>
      <c r="J117" s="56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6"/>
      <c r="AB117" s="57"/>
      <c r="AC117" s="58"/>
      <c r="AD117" s="49"/>
      <c r="AE117" s="49"/>
      <c r="AF117" s="49"/>
      <c r="AG117" s="49"/>
      <c r="AH117" s="49"/>
      <c r="AI117" s="49"/>
      <c r="AJ117" s="49"/>
      <c r="AK117" s="49"/>
      <c r="AL117" s="49"/>
      <c r="AM117" s="49"/>
      <c r="AN117" s="49"/>
      <c r="AO117" s="49"/>
      <c r="AP117" s="49"/>
      <c r="AQ117" s="49"/>
      <c r="AR117" s="49"/>
    </row>
    <row r="118" spans="5:44" s="40" customFormat="1">
      <c r="E118" s="49"/>
      <c r="F118" s="49"/>
      <c r="G118" s="49"/>
      <c r="H118" s="49"/>
      <c r="I118" s="49"/>
      <c r="J118" s="56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6"/>
      <c r="AB118" s="57"/>
      <c r="AC118" s="58"/>
      <c r="AD118" s="49"/>
      <c r="AE118" s="49"/>
      <c r="AF118" s="49"/>
      <c r="AG118" s="49"/>
      <c r="AH118" s="49"/>
      <c r="AI118" s="49"/>
      <c r="AJ118" s="49"/>
      <c r="AK118" s="49"/>
      <c r="AL118" s="49"/>
      <c r="AM118" s="49"/>
      <c r="AN118" s="49"/>
      <c r="AO118" s="49"/>
      <c r="AP118" s="49"/>
      <c r="AQ118" s="49"/>
      <c r="AR118" s="49"/>
    </row>
    <row r="119" spans="5:44" s="40" customFormat="1">
      <c r="E119" s="49"/>
      <c r="F119" s="49"/>
      <c r="G119" s="49"/>
      <c r="H119" s="49"/>
      <c r="I119" s="49"/>
      <c r="J119" s="56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6"/>
      <c r="AB119" s="57"/>
      <c r="AC119" s="58"/>
      <c r="AD119" s="49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49"/>
      <c r="AR119" s="49"/>
    </row>
    <row r="120" spans="5:44" s="40" customFormat="1">
      <c r="E120" s="49"/>
      <c r="F120" s="49"/>
      <c r="G120" s="49"/>
      <c r="H120" s="49"/>
      <c r="I120" s="49"/>
      <c r="J120" s="56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6"/>
      <c r="AB120" s="57"/>
      <c r="AC120" s="58"/>
      <c r="AD120" s="49"/>
      <c r="AE120" s="49"/>
      <c r="AF120" s="49"/>
      <c r="AG120" s="49"/>
      <c r="AH120" s="49"/>
      <c r="AI120" s="49"/>
      <c r="AJ120" s="49"/>
      <c r="AK120" s="49"/>
      <c r="AL120" s="49"/>
      <c r="AM120" s="49"/>
      <c r="AN120" s="49"/>
      <c r="AO120" s="49"/>
      <c r="AP120" s="49"/>
      <c r="AQ120" s="49"/>
      <c r="AR120" s="49"/>
    </row>
    <row r="121" spans="5:44" s="40" customFormat="1">
      <c r="E121" s="49"/>
      <c r="F121" s="49"/>
      <c r="G121" s="49"/>
      <c r="H121" s="49"/>
      <c r="I121" s="49"/>
      <c r="J121" s="56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6"/>
      <c r="AB121" s="57"/>
      <c r="AC121" s="58"/>
      <c r="AD121" s="49"/>
      <c r="AE121" s="49"/>
      <c r="AF121" s="49"/>
      <c r="AG121" s="49"/>
      <c r="AH121" s="49"/>
      <c r="AI121" s="49"/>
      <c r="AJ121" s="49"/>
      <c r="AK121" s="49"/>
      <c r="AL121" s="49"/>
      <c r="AM121" s="49"/>
      <c r="AN121" s="49"/>
      <c r="AO121" s="49"/>
      <c r="AP121" s="49"/>
      <c r="AQ121" s="49"/>
      <c r="AR121" s="49"/>
    </row>
    <row r="122" spans="5:44" s="40" customFormat="1">
      <c r="E122" s="49"/>
      <c r="F122" s="49"/>
      <c r="G122" s="49"/>
      <c r="H122" s="49"/>
      <c r="I122" s="49"/>
      <c r="J122" s="56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6"/>
      <c r="AB122" s="57"/>
      <c r="AC122" s="58"/>
      <c r="AD122" s="49"/>
      <c r="AE122" s="49"/>
      <c r="AF122" s="49"/>
      <c r="AG122" s="49"/>
      <c r="AH122" s="49"/>
      <c r="AI122" s="49"/>
      <c r="AJ122" s="49"/>
      <c r="AK122" s="49"/>
      <c r="AL122" s="49"/>
      <c r="AM122" s="49"/>
      <c r="AN122" s="49"/>
      <c r="AO122" s="49"/>
      <c r="AP122" s="49"/>
      <c r="AQ122" s="49"/>
      <c r="AR122" s="49"/>
    </row>
    <row r="123" spans="5:44" s="40" customFormat="1">
      <c r="E123" s="49"/>
      <c r="F123" s="49"/>
      <c r="G123" s="49"/>
      <c r="H123" s="49"/>
      <c r="I123" s="49"/>
      <c r="J123" s="56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6"/>
      <c r="AB123" s="57"/>
      <c r="AC123" s="58"/>
      <c r="AD123" s="49"/>
      <c r="AE123" s="49"/>
      <c r="AF123" s="49"/>
      <c r="AG123" s="49"/>
      <c r="AH123" s="49"/>
      <c r="AI123" s="49"/>
      <c r="AJ123" s="49"/>
      <c r="AK123" s="49"/>
      <c r="AL123" s="49"/>
      <c r="AM123" s="49"/>
      <c r="AN123" s="49"/>
      <c r="AO123" s="49"/>
      <c r="AP123" s="49"/>
      <c r="AQ123" s="49"/>
      <c r="AR123" s="49"/>
    </row>
    <row r="124" spans="5:44" s="40" customFormat="1">
      <c r="E124" s="49"/>
      <c r="F124" s="49"/>
      <c r="G124" s="49"/>
      <c r="H124" s="49"/>
      <c r="I124" s="49"/>
      <c r="J124" s="56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6"/>
      <c r="AB124" s="57"/>
      <c r="AC124" s="58"/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</row>
    <row r="125" spans="5:44" s="40" customFormat="1">
      <c r="E125" s="49"/>
      <c r="F125" s="49"/>
      <c r="G125" s="49"/>
      <c r="H125" s="49"/>
      <c r="I125" s="49"/>
      <c r="J125" s="56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6"/>
      <c r="AB125" s="57"/>
      <c r="AC125" s="58"/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</row>
    <row r="126" spans="5:44" s="40" customFormat="1">
      <c r="E126" s="49"/>
      <c r="F126" s="49"/>
      <c r="G126" s="49"/>
      <c r="H126" s="49"/>
      <c r="I126" s="49"/>
      <c r="J126" s="56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6"/>
      <c r="AB126" s="57"/>
      <c r="AC126" s="58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</row>
    <row r="127" spans="5:44" s="40" customFormat="1">
      <c r="E127" s="49"/>
      <c r="F127" s="49"/>
      <c r="G127" s="49"/>
      <c r="H127" s="49"/>
      <c r="I127" s="49"/>
      <c r="J127" s="56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6"/>
      <c r="AB127" s="57"/>
      <c r="AC127" s="58"/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</row>
    <row r="128" spans="5:44" s="40" customFormat="1">
      <c r="E128" s="49"/>
      <c r="F128" s="49"/>
      <c r="G128" s="49"/>
      <c r="H128" s="49"/>
      <c r="I128" s="49"/>
      <c r="J128" s="56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6"/>
      <c r="AB128" s="57"/>
      <c r="AC128" s="58"/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</row>
    <row r="129" spans="5:44" s="40" customFormat="1">
      <c r="E129" s="49"/>
      <c r="F129" s="49"/>
      <c r="G129" s="49"/>
      <c r="H129" s="49"/>
      <c r="I129" s="49"/>
      <c r="J129" s="56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6"/>
      <c r="AB129" s="57"/>
      <c r="AC129" s="58"/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</row>
    <row r="130" spans="5:44" s="40" customFormat="1">
      <c r="E130" s="49"/>
      <c r="F130" s="49"/>
      <c r="G130" s="49"/>
      <c r="H130" s="49"/>
      <c r="I130" s="49"/>
      <c r="J130" s="56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6"/>
      <c r="AB130" s="57"/>
      <c r="AC130" s="58"/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</row>
    <row r="131" spans="5:44" s="40" customFormat="1">
      <c r="E131" s="49"/>
      <c r="F131" s="49"/>
      <c r="G131" s="49"/>
      <c r="H131" s="49"/>
      <c r="I131" s="49"/>
      <c r="J131" s="56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6"/>
      <c r="AB131" s="57"/>
      <c r="AC131" s="58"/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</row>
    <row r="132" spans="5:44" s="40" customFormat="1">
      <c r="E132" s="49"/>
      <c r="F132" s="49"/>
      <c r="G132" s="49"/>
      <c r="H132" s="49"/>
      <c r="I132" s="49"/>
      <c r="J132" s="56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6"/>
      <c r="AB132" s="57"/>
      <c r="AC132" s="58"/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</row>
    <row r="133" spans="5:44" s="40" customFormat="1">
      <c r="E133" s="49"/>
      <c r="F133" s="49"/>
      <c r="G133" s="49"/>
      <c r="H133" s="49"/>
      <c r="I133" s="49"/>
      <c r="J133" s="56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6"/>
      <c r="AB133" s="57"/>
      <c r="AC133" s="58"/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</row>
    <row r="134" spans="5:44" s="40" customFormat="1">
      <c r="E134" s="49"/>
      <c r="F134" s="49"/>
      <c r="G134" s="49"/>
      <c r="H134" s="49"/>
      <c r="I134" s="49"/>
      <c r="J134" s="56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6"/>
      <c r="AB134" s="57"/>
      <c r="AC134" s="58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</row>
    <row r="135" spans="5:44" s="40" customFormat="1">
      <c r="E135" s="49"/>
      <c r="F135" s="49"/>
      <c r="G135" s="49"/>
      <c r="H135" s="49"/>
      <c r="I135" s="49"/>
      <c r="J135" s="56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6"/>
      <c r="AB135" s="57"/>
      <c r="AC135" s="58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</row>
    <row r="136" spans="5:44" s="40" customFormat="1">
      <c r="E136" s="49"/>
      <c r="F136" s="49"/>
      <c r="G136" s="49"/>
      <c r="H136" s="49"/>
      <c r="I136" s="49"/>
      <c r="J136" s="56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6"/>
      <c r="AB136" s="57"/>
      <c r="AC136" s="58"/>
      <c r="AD136" s="49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49"/>
      <c r="AR136" s="49"/>
    </row>
    <row r="137" spans="5:44" s="40" customFormat="1">
      <c r="E137" s="49"/>
      <c r="F137" s="49"/>
      <c r="G137" s="49"/>
      <c r="H137" s="49"/>
      <c r="I137" s="49"/>
      <c r="J137" s="56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6"/>
      <c r="AB137" s="57"/>
      <c r="AC137" s="58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</row>
    <row r="138" spans="5:44" s="40" customFormat="1">
      <c r="E138" s="49"/>
      <c r="F138" s="49"/>
      <c r="G138" s="49"/>
      <c r="H138" s="49"/>
      <c r="I138" s="49"/>
      <c r="J138" s="56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6"/>
      <c r="AB138" s="57"/>
      <c r="AC138" s="58"/>
      <c r="AD138" s="49"/>
      <c r="AE138" s="49"/>
      <c r="AF138" s="49"/>
      <c r="AG138" s="49"/>
      <c r="AH138" s="49"/>
      <c r="AI138" s="49"/>
      <c r="AJ138" s="49"/>
      <c r="AK138" s="49"/>
      <c r="AL138" s="49"/>
      <c r="AM138" s="49"/>
      <c r="AN138" s="49"/>
      <c r="AO138" s="49"/>
      <c r="AP138" s="49"/>
      <c r="AQ138" s="49"/>
      <c r="AR138" s="49"/>
    </row>
    <row r="139" spans="5:44" s="40" customFormat="1">
      <c r="E139" s="49"/>
      <c r="F139" s="49"/>
      <c r="G139" s="49"/>
      <c r="H139" s="49"/>
      <c r="I139" s="49"/>
      <c r="J139" s="56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6"/>
      <c r="AB139" s="57"/>
      <c r="AC139" s="58"/>
      <c r="AD139" s="49"/>
      <c r="AE139" s="49"/>
      <c r="AF139" s="49"/>
      <c r="AG139" s="49"/>
      <c r="AH139" s="49"/>
      <c r="AI139" s="49"/>
      <c r="AJ139" s="49"/>
      <c r="AK139" s="49"/>
      <c r="AL139" s="49"/>
      <c r="AM139" s="49"/>
      <c r="AN139" s="49"/>
      <c r="AO139" s="49"/>
      <c r="AP139" s="49"/>
      <c r="AQ139" s="49"/>
      <c r="AR139" s="49"/>
    </row>
    <row r="140" spans="5:44" s="40" customFormat="1">
      <c r="E140" s="49"/>
      <c r="F140" s="49"/>
      <c r="G140" s="49"/>
      <c r="H140" s="49"/>
      <c r="I140" s="49"/>
      <c r="J140" s="56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6"/>
      <c r="AB140" s="57"/>
      <c r="AC140" s="58"/>
      <c r="AD140" s="49"/>
      <c r="AE140" s="49"/>
      <c r="AF140" s="49"/>
      <c r="AG140" s="49"/>
      <c r="AH140" s="49"/>
      <c r="AI140" s="49"/>
      <c r="AJ140" s="49"/>
      <c r="AK140" s="49"/>
      <c r="AL140" s="49"/>
      <c r="AM140" s="49"/>
      <c r="AN140" s="49"/>
      <c r="AO140" s="49"/>
      <c r="AP140" s="49"/>
      <c r="AQ140" s="49"/>
      <c r="AR140" s="49"/>
    </row>
    <row r="141" spans="5:44" s="40" customFormat="1">
      <c r="E141" s="49"/>
      <c r="F141" s="49"/>
      <c r="G141" s="49"/>
      <c r="H141" s="49"/>
      <c r="I141" s="49"/>
      <c r="J141" s="56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6"/>
      <c r="AB141" s="57"/>
      <c r="AC141" s="58"/>
      <c r="AD141" s="49"/>
      <c r="AE141" s="49"/>
      <c r="AF141" s="49"/>
      <c r="AG141" s="49"/>
      <c r="AH141" s="49"/>
      <c r="AI141" s="49"/>
      <c r="AJ141" s="49"/>
      <c r="AK141" s="49"/>
      <c r="AL141" s="49"/>
      <c r="AM141" s="49"/>
      <c r="AN141" s="49"/>
      <c r="AO141" s="49"/>
      <c r="AP141" s="49"/>
      <c r="AQ141" s="49"/>
      <c r="AR141" s="49"/>
    </row>
    <row r="142" spans="5:44" s="40" customFormat="1">
      <c r="E142" s="49"/>
      <c r="F142" s="49"/>
      <c r="G142" s="49"/>
      <c r="H142" s="49"/>
      <c r="I142" s="49"/>
      <c r="J142" s="56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6"/>
      <c r="AB142" s="57"/>
      <c r="AC142" s="58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</row>
    <row r="143" spans="5:44" s="40" customFormat="1">
      <c r="E143" s="49"/>
      <c r="F143" s="49"/>
      <c r="G143" s="49"/>
      <c r="H143" s="49"/>
      <c r="I143" s="49"/>
      <c r="J143" s="56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6"/>
      <c r="AB143" s="57"/>
      <c r="AC143" s="58"/>
      <c r="AD143" s="49"/>
      <c r="AE143" s="49"/>
      <c r="AF143" s="49"/>
      <c r="AG143" s="49"/>
      <c r="AH143" s="49"/>
      <c r="AI143" s="49"/>
      <c r="AJ143" s="49"/>
      <c r="AK143" s="49"/>
      <c r="AL143" s="49"/>
      <c r="AM143" s="49"/>
      <c r="AN143" s="49"/>
      <c r="AO143" s="49"/>
      <c r="AP143" s="49"/>
      <c r="AQ143" s="49"/>
      <c r="AR143" s="49"/>
    </row>
    <row r="144" spans="5:44" s="40" customFormat="1">
      <c r="E144" s="49"/>
      <c r="F144" s="49"/>
      <c r="G144" s="49"/>
      <c r="H144" s="49"/>
      <c r="I144" s="49"/>
      <c r="J144" s="56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56"/>
      <c r="AB144" s="57"/>
      <c r="AC144" s="58"/>
      <c r="AD144" s="49"/>
      <c r="AE144" s="49"/>
      <c r="AF144" s="49"/>
      <c r="AG144" s="49"/>
      <c r="AH144" s="49"/>
      <c r="AI144" s="49"/>
      <c r="AJ144" s="49"/>
      <c r="AK144" s="49"/>
      <c r="AL144" s="49"/>
      <c r="AM144" s="49"/>
      <c r="AN144" s="49"/>
      <c r="AO144" s="49"/>
      <c r="AP144" s="49"/>
      <c r="AQ144" s="49"/>
      <c r="AR144" s="49"/>
    </row>
    <row r="145" spans="5:44" s="40" customFormat="1">
      <c r="E145" s="49"/>
      <c r="F145" s="49"/>
      <c r="G145" s="49"/>
      <c r="H145" s="49"/>
      <c r="I145" s="49"/>
      <c r="J145" s="56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56"/>
      <c r="AB145" s="57"/>
      <c r="AC145" s="58"/>
      <c r="AD145" s="49"/>
      <c r="AE145" s="49"/>
      <c r="AF145" s="49"/>
      <c r="AG145" s="49"/>
      <c r="AH145" s="49"/>
      <c r="AI145" s="49"/>
      <c r="AJ145" s="49"/>
      <c r="AK145" s="49"/>
      <c r="AL145" s="49"/>
      <c r="AM145" s="49"/>
      <c r="AN145" s="49"/>
      <c r="AO145" s="49"/>
      <c r="AP145" s="49"/>
      <c r="AQ145" s="49"/>
      <c r="AR145" s="49"/>
    </row>
    <row r="146" spans="5:44" s="40" customFormat="1">
      <c r="E146" s="49"/>
      <c r="F146" s="49"/>
      <c r="G146" s="49"/>
      <c r="H146" s="49"/>
      <c r="I146" s="49"/>
      <c r="J146" s="56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56"/>
      <c r="AB146" s="57"/>
      <c r="AC146" s="58"/>
      <c r="AD146" s="49"/>
      <c r="AE146" s="49"/>
      <c r="AF146" s="49"/>
      <c r="AG146" s="49"/>
      <c r="AH146" s="49"/>
      <c r="AI146" s="49"/>
      <c r="AJ146" s="49"/>
      <c r="AK146" s="49"/>
      <c r="AL146" s="49"/>
      <c r="AM146" s="49"/>
      <c r="AN146" s="49"/>
      <c r="AO146" s="49"/>
      <c r="AP146" s="49"/>
      <c r="AQ146" s="49"/>
      <c r="AR146" s="49"/>
    </row>
    <row r="147" spans="5:44" s="40" customFormat="1">
      <c r="E147" s="49"/>
      <c r="F147" s="49"/>
      <c r="G147" s="49"/>
      <c r="H147" s="49"/>
      <c r="I147" s="49"/>
      <c r="J147" s="56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56"/>
      <c r="AB147" s="57"/>
      <c r="AC147" s="58"/>
      <c r="AD147" s="49"/>
      <c r="AE147" s="49"/>
      <c r="AF147" s="49"/>
      <c r="AG147" s="49"/>
      <c r="AH147" s="49"/>
      <c r="AI147" s="49"/>
      <c r="AJ147" s="49"/>
      <c r="AK147" s="49"/>
      <c r="AL147" s="49"/>
      <c r="AM147" s="49"/>
      <c r="AN147" s="49"/>
      <c r="AO147" s="49"/>
      <c r="AP147" s="49"/>
      <c r="AQ147" s="49"/>
      <c r="AR147" s="49"/>
    </row>
    <row r="148" spans="5:44" s="40" customFormat="1">
      <c r="E148" s="49"/>
      <c r="F148" s="49"/>
      <c r="G148" s="49"/>
      <c r="H148" s="49"/>
      <c r="I148" s="49"/>
      <c r="J148" s="56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56"/>
      <c r="AB148" s="57"/>
      <c r="AC148" s="58"/>
      <c r="AD148" s="49"/>
      <c r="AE148" s="49"/>
      <c r="AF148" s="49"/>
      <c r="AG148" s="49"/>
      <c r="AH148" s="49"/>
      <c r="AI148" s="49"/>
      <c r="AJ148" s="49"/>
      <c r="AK148" s="49"/>
      <c r="AL148" s="49"/>
      <c r="AM148" s="49"/>
      <c r="AN148" s="49"/>
      <c r="AO148" s="49"/>
      <c r="AP148" s="49"/>
      <c r="AQ148" s="49"/>
      <c r="AR148" s="49"/>
    </row>
    <row r="149" spans="5:44" s="40" customFormat="1">
      <c r="E149" s="49"/>
      <c r="F149" s="49"/>
      <c r="G149" s="49"/>
      <c r="H149" s="49"/>
      <c r="I149" s="49"/>
      <c r="J149" s="56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56"/>
      <c r="AB149" s="57"/>
      <c r="AC149" s="58"/>
      <c r="AD149" s="49"/>
      <c r="AE149" s="49"/>
      <c r="AF149" s="49"/>
      <c r="AG149" s="49"/>
      <c r="AH149" s="49"/>
      <c r="AI149" s="49"/>
      <c r="AJ149" s="49"/>
      <c r="AK149" s="49"/>
      <c r="AL149" s="49"/>
      <c r="AM149" s="49"/>
      <c r="AN149" s="49"/>
      <c r="AO149" s="49"/>
      <c r="AP149" s="49"/>
      <c r="AQ149" s="49"/>
      <c r="AR149" s="49"/>
    </row>
    <row r="150" spans="5:44" s="40" customFormat="1">
      <c r="E150" s="49"/>
      <c r="F150" s="49"/>
      <c r="G150" s="49"/>
      <c r="H150" s="49"/>
      <c r="I150" s="49"/>
      <c r="J150" s="56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56"/>
      <c r="AB150" s="57"/>
      <c r="AC150" s="58"/>
      <c r="AD150" s="49"/>
      <c r="AE150" s="49"/>
      <c r="AF150" s="49"/>
      <c r="AG150" s="49"/>
      <c r="AH150" s="49"/>
      <c r="AI150" s="49"/>
      <c r="AJ150" s="49"/>
      <c r="AK150" s="49"/>
      <c r="AL150" s="49"/>
      <c r="AM150" s="49"/>
      <c r="AN150" s="49"/>
      <c r="AO150" s="49"/>
      <c r="AP150" s="49"/>
      <c r="AQ150" s="49"/>
      <c r="AR150" s="49"/>
    </row>
    <row r="151" spans="5:44" s="40" customFormat="1">
      <c r="E151" s="49"/>
      <c r="F151" s="49"/>
      <c r="G151" s="49"/>
      <c r="H151" s="49"/>
      <c r="I151" s="49"/>
      <c r="J151" s="56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56"/>
      <c r="AB151" s="57"/>
      <c r="AC151" s="58"/>
      <c r="AD151" s="49"/>
      <c r="AE151" s="49"/>
      <c r="AF151" s="49"/>
      <c r="AG151" s="49"/>
      <c r="AH151" s="49"/>
      <c r="AI151" s="49"/>
      <c r="AJ151" s="49"/>
      <c r="AK151" s="49"/>
      <c r="AL151" s="49"/>
      <c r="AM151" s="49"/>
      <c r="AN151" s="49"/>
      <c r="AO151" s="49"/>
      <c r="AP151" s="49"/>
      <c r="AQ151" s="49"/>
      <c r="AR151" s="49"/>
    </row>
    <row r="152" spans="5:44" s="40" customFormat="1">
      <c r="E152" s="49"/>
      <c r="F152" s="49"/>
      <c r="G152" s="49"/>
      <c r="H152" s="49"/>
      <c r="I152" s="49"/>
      <c r="J152" s="56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56"/>
      <c r="AB152" s="57"/>
      <c r="AC152" s="58"/>
      <c r="AD152" s="49"/>
      <c r="AE152" s="49"/>
      <c r="AF152" s="49"/>
      <c r="AG152" s="49"/>
      <c r="AH152" s="49"/>
      <c r="AI152" s="49"/>
      <c r="AJ152" s="49"/>
      <c r="AK152" s="49"/>
      <c r="AL152" s="49"/>
      <c r="AM152" s="49"/>
      <c r="AN152" s="49"/>
      <c r="AO152" s="49"/>
      <c r="AP152" s="49"/>
      <c r="AQ152" s="49"/>
      <c r="AR152" s="49"/>
    </row>
    <row r="153" spans="5:44" s="40" customFormat="1">
      <c r="E153" s="49"/>
      <c r="F153" s="49"/>
      <c r="G153" s="49"/>
      <c r="H153" s="49"/>
      <c r="I153" s="49"/>
      <c r="J153" s="56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56"/>
      <c r="AB153" s="57"/>
      <c r="AC153" s="58"/>
      <c r="AD153" s="49"/>
      <c r="AE153" s="49"/>
      <c r="AF153" s="49"/>
      <c r="AG153" s="49"/>
      <c r="AH153" s="49"/>
      <c r="AI153" s="49"/>
      <c r="AJ153" s="49"/>
      <c r="AK153" s="49"/>
      <c r="AL153" s="49"/>
      <c r="AM153" s="49"/>
      <c r="AN153" s="49"/>
      <c r="AO153" s="49"/>
      <c r="AP153" s="49"/>
      <c r="AQ153" s="49"/>
      <c r="AR153" s="49"/>
    </row>
    <row r="154" spans="5:44" s="40" customFormat="1">
      <c r="E154" s="49"/>
      <c r="F154" s="49"/>
      <c r="G154" s="49"/>
      <c r="H154" s="49"/>
      <c r="I154" s="49"/>
      <c r="J154" s="56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56"/>
      <c r="AB154" s="57"/>
      <c r="AC154" s="58"/>
      <c r="AD154" s="49"/>
      <c r="AE154" s="49"/>
      <c r="AF154" s="49"/>
      <c r="AG154" s="49"/>
      <c r="AH154" s="49"/>
      <c r="AI154" s="49"/>
      <c r="AJ154" s="49"/>
      <c r="AK154" s="49"/>
      <c r="AL154" s="49"/>
      <c r="AM154" s="49"/>
      <c r="AN154" s="49"/>
      <c r="AO154" s="49"/>
      <c r="AP154" s="49"/>
      <c r="AQ154" s="49"/>
      <c r="AR154" s="49"/>
    </row>
    <row r="155" spans="5:44" s="40" customFormat="1">
      <c r="E155" s="49"/>
      <c r="F155" s="49"/>
      <c r="G155" s="49"/>
      <c r="H155" s="49"/>
      <c r="I155" s="49"/>
      <c r="J155" s="56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56"/>
      <c r="AB155" s="57"/>
      <c r="AC155" s="58"/>
      <c r="AD155" s="49"/>
      <c r="AE155" s="49"/>
      <c r="AF155" s="49"/>
      <c r="AG155" s="49"/>
      <c r="AH155" s="49"/>
      <c r="AI155" s="49"/>
      <c r="AJ155" s="49"/>
      <c r="AK155" s="49"/>
      <c r="AL155" s="49"/>
      <c r="AM155" s="49"/>
      <c r="AN155" s="49"/>
      <c r="AO155" s="49"/>
      <c r="AP155" s="49"/>
      <c r="AQ155" s="49"/>
      <c r="AR155" s="49"/>
    </row>
    <row r="156" spans="5:44" s="40" customFormat="1">
      <c r="E156" s="49"/>
      <c r="F156" s="49"/>
      <c r="G156" s="49"/>
      <c r="H156" s="49"/>
      <c r="I156" s="49"/>
      <c r="J156" s="56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56"/>
      <c r="AB156" s="57"/>
      <c r="AC156" s="58"/>
      <c r="AD156" s="49"/>
      <c r="AE156" s="49"/>
      <c r="AF156" s="4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</row>
    <row r="157" spans="5:44" s="40" customFormat="1">
      <c r="E157" s="49"/>
      <c r="F157" s="49"/>
      <c r="G157" s="49"/>
      <c r="H157" s="49"/>
      <c r="I157" s="49"/>
      <c r="J157" s="56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56"/>
      <c r="AB157" s="57"/>
      <c r="AC157" s="58"/>
      <c r="AD157" s="49"/>
      <c r="AE157" s="49"/>
      <c r="AF157" s="49"/>
      <c r="AG157" s="49"/>
      <c r="AH157" s="49"/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</row>
    <row r="158" spans="5:44" s="40" customFormat="1">
      <c r="E158" s="49"/>
      <c r="F158" s="49"/>
      <c r="G158" s="49"/>
      <c r="H158" s="49"/>
      <c r="I158" s="49"/>
      <c r="J158" s="56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56"/>
      <c r="AB158" s="57"/>
      <c r="AC158" s="58"/>
      <c r="AD158" s="49"/>
      <c r="AE158" s="49"/>
      <c r="AF158" s="49"/>
      <c r="AG158" s="49"/>
      <c r="AH158" s="49"/>
      <c r="AI158" s="49"/>
      <c r="AJ158" s="49"/>
      <c r="AK158" s="49"/>
      <c r="AL158" s="49"/>
      <c r="AM158" s="49"/>
      <c r="AN158" s="49"/>
      <c r="AO158" s="49"/>
      <c r="AP158" s="49"/>
      <c r="AQ158" s="49"/>
      <c r="AR158" s="49"/>
    </row>
    <row r="159" spans="5:44" s="40" customFormat="1">
      <c r="E159" s="49"/>
      <c r="F159" s="49"/>
      <c r="G159" s="49"/>
      <c r="H159" s="49"/>
      <c r="I159" s="49"/>
      <c r="J159" s="56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56"/>
      <c r="AB159" s="57"/>
      <c r="AC159" s="58"/>
      <c r="AD159" s="49"/>
      <c r="AE159" s="49"/>
      <c r="AF159" s="49"/>
      <c r="AG159" s="49"/>
      <c r="AH159" s="49"/>
      <c r="AI159" s="49"/>
      <c r="AJ159" s="49"/>
      <c r="AK159" s="49"/>
      <c r="AL159" s="49"/>
      <c r="AM159" s="49"/>
      <c r="AN159" s="49"/>
      <c r="AO159" s="49"/>
      <c r="AP159" s="49"/>
      <c r="AQ159" s="49"/>
      <c r="AR159" s="49"/>
    </row>
    <row r="160" spans="5:44" s="40" customFormat="1">
      <c r="E160" s="49"/>
      <c r="F160" s="49"/>
      <c r="G160" s="49"/>
      <c r="H160" s="49"/>
      <c r="I160" s="49"/>
      <c r="J160" s="56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56"/>
      <c r="AB160" s="57"/>
      <c r="AC160" s="58"/>
      <c r="AD160" s="49"/>
      <c r="AE160" s="49"/>
      <c r="AF160" s="49"/>
      <c r="AG160" s="49"/>
      <c r="AH160" s="49"/>
      <c r="AI160" s="49"/>
      <c r="AJ160" s="49"/>
      <c r="AK160" s="49"/>
      <c r="AL160" s="49"/>
      <c r="AM160" s="49"/>
      <c r="AN160" s="49"/>
      <c r="AO160" s="49"/>
      <c r="AP160" s="49"/>
      <c r="AQ160" s="49"/>
      <c r="AR160" s="49"/>
    </row>
    <row r="161" spans="5:44" s="40" customFormat="1">
      <c r="E161" s="49"/>
      <c r="F161" s="49"/>
      <c r="G161" s="49"/>
      <c r="H161" s="49"/>
      <c r="I161" s="49"/>
      <c r="J161" s="56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56"/>
      <c r="AB161" s="57"/>
      <c r="AC161" s="58"/>
      <c r="AD161" s="49"/>
      <c r="AE161" s="49"/>
      <c r="AF161" s="49"/>
      <c r="AG161" s="49"/>
      <c r="AH161" s="49"/>
      <c r="AI161" s="49"/>
      <c r="AJ161" s="49"/>
      <c r="AK161" s="49"/>
      <c r="AL161" s="49"/>
      <c r="AM161" s="49"/>
      <c r="AN161" s="49"/>
      <c r="AO161" s="49"/>
      <c r="AP161" s="49"/>
      <c r="AQ161" s="49"/>
      <c r="AR161" s="49"/>
    </row>
    <row r="162" spans="5:44" s="40" customFormat="1">
      <c r="E162" s="49"/>
      <c r="F162" s="49"/>
      <c r="G162" s="49"/>
      <c r="H162" s="49"/>
      <c r="I162" s="49"/>
      <c r="J162" s="56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56"/>
      <c r="AB162" s="57"/>
      <c r="AC162" s="58"/>
      <c r="AD162" s="49"/>
      <c r="AE162" s="49"/>
      <c r="AF162" s="49"/>
      <c r="AG162" s="49"/>
      <c r="AH162" s="49"/>
      <c r="AI162" s="49"/>
      <c r="AJ162" s="49"/>
      <c r="AK162" s="49"/>
      <c r="AL162" s="49"/>
      <c r="AM162" s="49"/>
      <c r="AN162" s="49"/>
      <c r="AO162" s="49"/>
      <c r="AP162" s="49"/>
      <c r="AQ162" s="49"/>
      <c r="AR162" s="49"/>
    </row>
    <row r="163" spans="5:44" s="40" customFormat="1">
      <c r="E163" s="49"/>
      <c r="F163" s="49"/>
      <c r="G163" s="49"/>
      <c r="H163" s="49"/>
      <c r="I163" s="49"/>
      <c r="J163" s="56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56"/>
      <c r="AB163" s="57"/>
      <c r="AC163" s="58"/>
      <c r="AD163" s="49"/>
      <c r="AE163" s="49"/>
      <c r="AF163" s="49"/>
      <c r="AG163" s="49"/>
      <c r="AH163" s="49"/>
      <c r="AI163" s="49"/>
      <c r="AJ163" s="49"/>
      <c r="AK163" s="49"/>
      <c r="AL163" s="49"/>
      <c r="AM163" s="49"/>
      <c r="AN163" s="49"/>
      <c r="AO163" s="49"/>
      <c r="AP163" s="49"/>
      <c r="AQ163" s="49"/>
      <c r="AR163" s="49"/>
    </row>
    <row r="164" spans="5:44" s="40" customFormat="1">
      <c r="E164" s="49"/>
      <c r="F164" s="49"/>
      <c r="G164" s="49"/>
      <c r="H164" s="49"/>
      <c r="I164" s="49"/>
      <c r="J164" s="56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56"/>
      <c r="AB164" s="57"/>
      <c r="AC164" s="58"/>
      <c r="AD164" s="49"/>
      <c r="AE164" s="49"/>
      <c r="AF164" s="49"/>
      <c r="AG164" s="49"/>
      <c r="AH164" s="49"/>
      <c r="AI164" s="49"/>
      <c r="AJ164" s="49"/>
      <c r="AK164" s="49"/>
      <c r="AL164" s="49"/>
      <c r="AM164" s="49"/>
      <c r="AN164" s="49"/>
      <c r="AO164" s="49"/>
      <c r="AP164" s="49"/>
      <c r="AQ164" s="49"/>
      <c r="AR164" s="49"/>
    </row>
    <row r="165" spans="5:44" s="40" customFormat="1">
      <c r="E165" s="49"/>
      <c r="F165" s="49"/>
      <c r="G165" s="49"/>
      <c r="H165" s="49"/>
      <c r="I165" s="49"/>
      <c r="J165" s="56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56"/>
      <c r="AB165" s="57"/>
      <c r="AC165" s="58"/>
      <c r="AD165" s="49"/>
      <c r="AE165" s="49"/>
      <c r="AF165" s="49"/>
      <c r="AG165" s="49"/>
      <c r="AH165" s="49"/>
      <c r="AI165" s="49"/>
      <c r="AJ165" s="49"/>
      <c r="AK165" s="49"/>
      <c r="AL165" s="49"/>
      <c r="AM165" s="49"/>
      <c r="AN165" s="49"/>
      <c r="AO165" s="49"/>
      <c r="AP165" s="49"/>
      <c r="AQ165" s="49"/>
      <c r="AR165" s="49"/>
    </row>
    <row r="166" spans="5:44" s="40" customFormat="1">
      <c r="E166" s="49"/>
      <c r="F166" s="49"/>
      <c r="G166" s="49"/>
      <c r="H166" s="49"/>
      <c r="I166" s="49"/>
      <c r="J166" s="56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56"/>
      <c r="AB166" s="57"/>
      <c r="AC166" s="58"/>
      <c r="AD166" s="49"/>
      <c r="AE166" s="49"/>
      <c r="AF166" s="49"/>
      <c r="AG166" s="49"/>
      <c r="AH166" s="49"/>
      <c r="AI166" s="49"/>
      <c r="AJ166" s="49"/>
      <c r="AK166" s="49"/>
      <c r="AL166" s="49"/>
      <c r="AM166" s="49"/>
      <c r="AN166" s="49"/>
      <c r="AO166" s="49"/>
      <c r="AP166" s="49"/>
      <c r="AQ166" s="49"/>
      <c r="AR166" s="49"/>
    </row>
    <row r="167" spans="5:44" s="40" customFormat="1">
      <c r="E167" s="49"/>
      <c r="F167" s="49"/>
      <c r="G167" s="49"/>
      <c r="H167" s="49"/>
      <c r="I167" s="49"/>
      <c r="J167" s="56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56"/>
      <c r="AB167" s="57"/>
      <c r="AC167" s="58"/>
      <c r="AD167" s="49"/>
      <c r="AE167" s="49"/>
      <c r="AF167" s="49"/>
      <c r="AG167" s="49"/>
      <c r="AH167" s="49"/>
      <c r="AI167" s="49"/>
      <c r="AJ167" s="49"/>
      <c r="AK167" s="49"/>
      <c r="AL167" s="49"/>
      <c r="AM167" s="49"/>
      <c r="AN167" s="49"/>
      <c r="AO167" s="49"/>
      <c r="AP167" s="49"/>
      <c r="AQ167" s="49"/>
      <c r="AR167" s="49"/>
    </row>
    <row r="168" spans="5:44" s="40" customFormat="1">
      <c r="E168" s="49"/>
      <c r="F168" s="49"/>
      <c r="G168" s="49"/>
      <c r="H168" s="49"/>
      <c r="I168" s="49"/>
      <c r="J168" s="56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56"/>
      <c r="AB168" s="57"/>
      <c r="AC168" s="58"/>
      <c r="AD168" s="49"/>
      <c r="AE168" s="49"/>
      <c r="AF168" s="49"/>
      <c r="AG168" s="49"/>
      <c r="AH168" s="49"/>
      <c r="AI168" s="49"/>
      <c r="AJ168" s="49"/>
      <c r="AK168" s="49"/>
      <c r="AL168" s="49"/>
      <c r="AM168" s="49"/>
      <c r="AN168" s="49"/>
      <c r="AO168" s="49"/>
      <c r="AP168" s="49"/>
      <c r="AQ168" s="49"/>
      <c r="AR168" s="49"/>
    </row>
    <row r="169" spans="5:44" s="40" customFormat="1">
      <c r="E169" s="49"/>
      <c r="F169" s="49"/>
      <c r="G169" s="49"/>
      <c r="H169" s="49"/>
      <c r="I169" s="49"/>
      <c r="J169" s="56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56"/>
      <c r="AB169" s="57"/>
      <c r="AC169" s="58"/>
      <c r="AD169" s="49"/>
      <c r="AE169" s="49"/>
      <c r="AF169" s="49"/>
      <c r="AG169" s="49"/>
      <c r="AH169" s="49"/>
      <c r="AI169" s="49"/>
      <c r="AJ169" s="49"/>
      <c r="AK169" s="49"/>
      <c r="AL169" s="49"/>
      <c r="AM169" s="49"/>
      <c r="AN169" s="49"/>
      <c r="AO169" s="49"/>
      <c r="AP169" s="49"/>
      <c r="AQ169" s="49"/>
      <c r="AR169" s="49"/>
    </row>
    <row r="170" spans="5:44" s="40" customFormat="1">
      <c r="E170" s="49"/>
      <c r="F170" s="49"/>
      <c r="G170" s="49"/>
      <c r="H170" s="49"/>
      <c r="I170" s="49"/>
      <c r="J170" s="56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56"/>
      <c r="AB170" s="57"/>
      <c r="AC170" s="58"/>
      <c r="AD170" s="49"/>
      <c r="AE170" s="49"/>
      <c r="AF170" s="49"/>
      <c r="AG170" s="49"/>
      <c r="AH170" s="49"/>
      <c r="AI170" s="49"/>
      <c r="AJ170" s="49"/>
      <c r="AK170" s="49"/>
      <c r="AL170" s="49"/>
      <c r="AM170" s="49"/>
      <c r="AN170" s="49"/>
      <c r="AO170" s="49"/>
      <c r="AP170" s="49"/>
      <c r="AQ170" s="49"/>
      <c r="AR170" s="49"/>
    </row>
    <row r="171" spans="5:44" s="40" customFormat="1">
      <c r="E171" s="49"/>
      <c r="F171" s="49"/>
      <c r="G171" s="49"/>
      <c r="H171" s="49"/>
      <c r="I171" s="49"/>
      <c r="J171" s="56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56"/>
      <c r="AB171" s="57"/>
      <c r="AC171" s="58"/>
      <c r="AD171" s="49"/>
      <c r="AE171" s="49"/>
      <c r="AF171" s="49"/>
      <c r="AG171" s="49"/>
      <c r="AH171" s="49"/>
      <c r="AI171" s="49"/>
      <c r="AJ171" s="49"/>
      <c r="AK171" s="49"/>
      <c r="AL171" s="49"/>
      <c r="AM171" s="49"/>
      <c r="AN171" s="49"/>
      <c r="AO171" s="49"/>
      <c r="AP171" s="49"/>
      <c r="AQ171" s="49"/>
      <c r="AR171" s="49"/>
    </row>
    <row r="172" spans="5:44" s="40" customFormat="1">
      <c r="E172" s="49"/>
      <c r="F172" s="49"/>
      <c r="G172" s="49"/>
      <c r="H172" s="49"/>
      <c r="I172" s="49"/>
      <c r="J172" s="56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56"/>
      <c r="AB172" s="57"/>
      <c r="AC172" s="58"/>
      <c r="AD172" s="49"/>
      <c r="AE172" s="49"/>
      <c r="AF172" s="49"/>
      <c r="AG172" s="49"/>
      <c r="AH172" s="49"/>
      <c r="AI172" s="49"/>
      <c r="AJ172" s="49"/>
      <c r="AK172" s="49"/>
      <c r="AL172" s="49"/>
      <c r="AM172" s="49"/>
      <c r="AN172" s="49"/>
      <c r="AO172" s="49"/>
      <c r="AP172" s="49"/>
      <c r="AQ172" s="49"/>
      <c r="AR172" s="49"/>
    </row>
    <row r="173" spans="5:44" s="40" customFormat="1">
      <c r="E173" s="49"/>
      <c r="F173" s="49"/>
      <c r="G173" s="49"/>
      <c r="H173" s="49"/>
      <c r="I173" s="49"/>
      <c r="J173" s="56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56"/>
      <c r="AB173" s="57"/>
      <c r="AC173" s="58"/>
      <c r="AD173" s="49"/>
      <c r="AE173" s="49"/>
      <c r="AF173" s="49"/>
      <c r="AG173" s="49"/>
      <c r="AH173" s="49"/>
      <c r="AI173" s="49"/>
      <c r="AJ173" s="49"/>
      <c r="AK173" s="49"/>
      <c r="AL173" s="49"/>
      <c r="AM173" s="49"/>
      <c r="AN173" s="49"/>
      <c r="AO173" s="49"/>
      <c r="AP173" s="49"/>
      <c r="AQ173" s="49"/>
      <c r="AR173" s="49"/>
    </row>
    <row r="174" spans="5:44" s="40" customFormat="1">
      <c r="E174" s="49"/>
      <c r="F174" s="49"/>
      <c r="G174" s="49"/>
      <c r="H174" s="49"/>
      <c r="I174" s="49"/>
      <c r="J174" s="56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56"/>
      <c r="AB174" s="57"/>
      <c r="AC174" s="58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  <c r="AO174" s="49"/>
      <c r="AP174" s="49"/>
      <c r="AQ174" s="49"/>
      <c r="AR174" s="49"/>
    </row>
    <row r="175" spans="5:44" s="40" customFormat="1">
      <c r="E175" s="49"/>
      <c r="F175" s="49"/>
      <c r="G175" s="49"/>
      <c r="H175" s="49"/>
      <c r="I175" s="49"/>
      <c r="J175" s="56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56"/>
      <c r="AB175" s="57"/>
      <c r="AC175" s="58"/>
      <c r="AD175" s="49"/>
      <c r="AE175" s="49"/>
      <c r="AF175" s="49"/>
      <c r="AG175" s="49"/>
      <c r="AH175" s="49"/>
      <c r="AI175" s="49"/>
      <c r="AJ175" s="49"/>
      <c r="AK175" s="49"/>
      <c r="AL175" s="49"/>
      <c r="AM175" s="49"/>
      <c r="AN175" s="49"/>
      <c r="AO175" s="49"/>
      <c r="AP175" s="49"/>
      <c r="AQ175" s="49"/>
      <c r="AR175" s="49"/>
    </row>
  </sheetData>
  <mergeCells count="68">
    <mergeCell ref="F6:F7"/>
    <mergeCell ref="G6:G7"/>
    <mergeCell ref="H6:H7"/>
    <mergeCell ref="I6:I7"/>
    <mergeCell ref="A6:A7"/>
    <mergeCell ref="B6:B7"/>
    <mergeCell ref="C6:C7"/>
    <mergeCell ref="D6:D7"/>
    <mergeCell ref="E6:E7"/>
    <mergeCell ref="AO6:AO7"/>
    <mergeCell ref="AP6:AP7"/>
    <mergeCell ref="AR6:AR7"/>
    <mergeCell ref="AD6:AD7"/>
    <mergeCell ref="AF6:AF7"/>
    <mergeCell ref="AG6:AG7"/>
    <mergeCell ref="AH6:AH7"/>
    <mergeCell ref="AJ6:AJ7"/>
    <mergeCell ref="AK6:AK7"/>
    <mergeCell ref="AL6:AL7"/>
    <mergeCell ref="AN6:AN7"/>
    <mergeCell ref="AB6:AB7"/>
    <mergeCell ref="AC6:AC7"/>
    <mergeCell ref="J6:J7"/>
    <mergeCell ref="K6:K7"/>
    <mergeCell ref="L6:L7"/>
    <mergeCell ref="M6:M7"/>
    <mergeCell ref="O6:O7"/>
    <mergeCell ref="P6:P7"/>
    <mergeCell ref="Q6:Q7"/>
    <mergeCell ref="S6:S7"/>
    <mergeCell ref="T6:T7"/>
    <mergeCell ref="U6:U7"/>
    <mergeCell ref="W6:W7"/>
    <mergeCell ref="X6:X7"/>
    <mergeCell ref="Y6:Y7"/>
    <mergeCell ref="AA6:AA7"/>
    <mergeCell ref="A18:E18"/>
    <mergeCell ref="A27:E27"/>
    <mergeCell ref="A84:E84"/>
    <mergeCell ref="AB5:AR5"/>
    <mergeCell ref="AE6:AE7"/>
    <mergeCell ref="AI6:AI7"/>
    <mergeCell ref="AM6:AM7"/>
    <mergeCell ref="AQ6:AQ7"/>
    <mergeCell ref="N6:N7"/>
    <mergeCell ref="R6:R7"/>
    <mergeCell ref="V6:V7"/>
    <mergeCell ref="Z6:Z7"/>
    <mergeCell ref="K5:AA5"/>
    <mergeCell ref="A30:E30"/>
    <mergeCell ref="A33:E33"/>
    <mergeCell ref="F5:J5"/>
    <mergeCell ref="A100:E100"/>
    <mergeCell ref="A1:A2"/>
    <mergeCell ref="A3:A4"/>
    <mergeCell ref="C1:C2"/>
    <mergeCell ref="C3:C4"/>
    <mergeCell ref="D1:E2"/>
    <mergeCell ref="B1:B2"/>
    <mergeCell ref="B3:B4"/>
    <mergeCell ref="D3:E4"/>
    <mergeCell ref="A86:E86"/>
    <mergeCell ref="A96:E96"/>
    <mergeCell ref="A98:E98"/>
    <mergeCell ref="A35:E35"/>
    <mergeCell ref="A40:E40"/>
    <mergeCell ref="A79:E79"/>
    <mergeCell ref="A81:E81"/>
  </mergeCells>
  <phoneticPr fontId="2" type="noConversion"/>
  <pageMargins left="0.15748031496062992" right="0.19685039370078741" top="0.39370078740157483" bottom="0.27559055118110237" header="0.15748031496062992" footer="0.31496062992125984"/>
  <pageSetup paperSize="9" scale="17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52a90f-7fe9-4e86-8bc0-77ac944428c3" xsi:nil="true"/>
    <lcf76f155ced4ddcb4097134ff3c332f xmlns="6b1f42dd-7e4f-4b9a-8ef5-b41eb2ce5fd4">
      <Terms xmlns="http://schemas.microsoft.com/office/infopath/2007/PartnerControls"/>
    </lcf76f155ced4ddcb4097134ff3c332f>
    <Label xmlns="6b1f42dd-7e4f-4b9a-8ef5-b41eb2ce5fd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13B63DB5838D4987731F3890792060" ma:contentTypeVersion="19" ma:contentTypeDescription="Create a new document." ma:contentTypeScope="" ma:versionID="c1158b155e3c6f6e94cb38ca0cbcc7a2">
  <xsd:schema xmlns:xsd="http://www.w3.org/2001/XMLSchema" xmlns:xs="http://www.w3.org/2001/XMLSchema" xmlns:p="http://schemas.microsoft.com/office/2006/metadata/properties" xmlns:ns2="6b1f42dd-7e4f-4b9a-8ef5-b41eb2ce5fd4" xmlns:ns3="9a52a90f-7fe9-4e86-8bc0-77ac944428c3" targetNamespace="http://schemas.microsoft.com/office/2006/metadata/properties" ma:root="true" ma:fieldsID="ce83528bb8e243e40f31b134a94b8a51" ns2:_="" ns3:_="">
    <xsd:import namespace="6b1f42dd-7e4f-4b9a-8ef5-b41eb2ce5fd4"/>
    <xsd:import namespace="9a52a90f-7fe9-4e86-8bc0-77ac944428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Label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f42dd-7e4f-4b9a-8ef5-b41eb2ce5f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223018d-5882-4815-ab52-368a3f779a7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abel" ma:index="25" ma:displayName="Label" ma:description="Type of Folder/File" ma:format="Dropdown" ma:internalName="Label">
      <xsd:simpleType>
        <xsd:restriction base="dms:Choice">
          <xsd:enumeration value="Open"/>
          <xsd:enumeration value="Confidential"/>
        </xsd:restriction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52a90f-7fe9-4e86-8bc0-77ac944428c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3fe94af-638b-40ac-985f-d2175dba8a64}" ma:internalName="TaxCatchAll" ma:showField="CatchAllData" ma:web="9a52a90f-7fe9-4e86-8bc0-77ac944428c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5A31E0C-A1A8-4A48-A7E9-2D7696CEA42B}">
  <ds:schemaRefs>
    <ds:schemaRef ds:uri="http://schemas.microsoft.com/office/2006/metadata/properties"/>
    <ds:schemaRef ds:uri="http://schemas.microsoft.com/office/infopath/2007/PartnerControls"/>
    <ds:schemaRef ds:uri="9a52a90f-7fe9-4e86-8bc0-77ac944428c3"/>
    <ds:schemaRef ds:uri="6b1f42dd-7e4f-4b9a-8ef5-b41eb2ce5fd4"/>
  </ds:schemaRefs>
</ds:datastoreItem>
</file>

<file path=customXml/itemProps2.xml><?xml version="1.0" encoding="utf-8"?>
<ds:datastoreItem xmlns:ds="http://schemas.openxmlformats.org/officeDocument/2006/customXml" ds:itemID="{92DFF010-A125-4B3C-BF70-8E93DED0EBD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302427-B210-4C13-A580-BA97C63244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f42dd-7e4f-4b9a-8ef5-b41eb2ce5fd4"/>
    <ds:schemaRef ds:uri="9a52a90f-7fe9-4e86-8bc0-77ac944428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 SALES PLAN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Grant Stewart</cp:lastModifiedBy>
  <cp:revision/>
  <cp:lastPrinted>2024-09-04T11:42:35Z</cp:lastPrinted>
  <dcterms:created xsi:type="dcterms:W3CDTF">2013-11-29T01:49:45Z</dcterms:created>
  <dcterms:modified xsi:type="dcterms:W3CDTF">2025-03-18T07:36:02Z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0x0101007113B63DB5838D4987731F3890792060</vt:lpwstr>
  </property>
  <property fmtid="{D5CDD505-2E9C-101B-9397-08002B2CF9AE}" pid="3" name="MediaServiceImageTags">
    <vt:lpwstr/>
  </property>
</Properties>
</file>